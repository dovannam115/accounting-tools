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utoFilterDateGrouping="1"/>
  </bookViews>
  <sheets>
    <sheet xmlns:r="http://schemas.openxmlformats.org/officeDocument/2006/relationships" name="BBDS" sheetId="1" state="visible" r:id="rId1"/>
  </sheets>
  <definedNames>
    <definedName name="_xlnm.Print_Area" localSheetId="0">'BBDS'!$A$1:$L$45</definedName>
  </definedNames>
  <calcPr calcId="191029" fullCalcOnLoad="1"/>
</workbook>
</file>

<file path=xl/styles.xml><?xml version="1.0" encoding="utf-8"?>
<styleSheet xmlns="http://schemas.openxmlformats.org/spreadsheetml/2006/main">
  <numFmts count="8">
    <numFmt numFmtId="164" formatCode="_-* #,##0_-;\-* #,##0_-;_-* &quot;-&quot;_-;_-@_-"/>
    <numFmt numFmtId="165" formatCode="_-* #,##0_-;\-* #,##0_-;_-* &quot;-&quot;??_-;_-@_-"/>
    <numFmt numFmtId="166" formatCode="_(* #,##0_);_(* \(#,##0\);_(* &quot;-&quot;??_);_(@_)"/>
    <numFmt numFmtId="167" formatCode="###\ ###\ ##0"/>
    <numFmt numFmtId="168" formatCode="###\ ###\ ###\ ###\ ###\ ##0.0#"/>
    <numFmt numFmtId="169" formatCode="_-* #,##0.00_-;\-* #,##0.00_-;_-* &quot;-&quot;??_-;_-@_-"/>
    <numFmt numFmtId="170" formatCode="_-* #,##0.00_-;\-* #,##0.00_-;_-* \-??_-;_-@_-"/>
    <numFmt numFmtId="171" formatCode="_(* #,##0.00_);_(* \(#,##0.00\);_(* \-??_);_(@_)"/>
  </numFmts>
  <fonts count="26">
    <font>
      <name val="Aptos Narrow"/>
      <charset val="163"/>
      <family val="2"/>
      <color theme="1"/>
      <sz val="11"/>
      <scheme val="minor"/>
    </font>
    <font>
      <name val="Aptos Narrow"/>
      <family val="2"/>
      <color theme="1"/>
      <sz val="11"/>
      <scheme val="minor"/>
    </font>
    <font>
      <name val="Aptos Narrow"/>
      <family val="2"/>
      <color theme="1"/>
      <sz val="11"/>
      <scheme val="minor"/>
    </font>
    <font>
      <name val="Aptos Narrow"/>
      <charset val="163"/>
      <family val="2"/>
      <color theme="1"/>
      <sz val="11"/>
      <scheme val="minor"/>
    </font>
    <font>
      <name val="Aptos Narrow"/>
      <charset val="163"/>
      <family val="2"/>
      <b val="1"/>
      <color theme="1"/>
      <sz val="11"/>
      <scheme val="minor"/>
    </font>
    <font>
      <name val="Times New Roman"/>
      <charset val="163"/>
      <family val="1"/>
      <b val="1"/>
      <color theme="1"/>
      <sz val="13"/>
    </font>
    <font>
      <name val="Times New Roman"/>
      <charset val="163"/>
      <family val="1"/>
      <color theme="1"/>
      <sz val="13"/>
    </font>
    <font>
      <name val="Aptos Narrow"/>
      <family val="2"/>
      <color theme="1"/>
      <sz val="11"/>
      <scheme val="minor"/>
    </font>
    <font>
      <name val="Times New Roman"/>
      <family val="1"/>
      <sz val="13"/>
    </font>
    <font>
      <name val="Times New Roman"/>
      <family val="1"/>
      <b val="1"/>
      <sz val="13"/>
    </font>
    <font>
      <name val="Times New Roman"/>
      <family val="1"/>
      <b val="1"/>
      <i val="1"/>
      <sz val="13"/>
    </font>
    <font>
      <name val="Times New Roman"/>
      <family val="1"/>
      <i val="1"/>
      <sz val="13"/>
    </font>
    <font>
      <name val="Aptos Narrow"/>
      <b val="1"/>
      <sz val="11"/>
      <scheme val="minor"/>
    </font>
    <font>
      <name val="Aptos Narrow"/>
      <family val="2"/>
      <b val="1"/>
      <color theme="1"/>
      <sz val="11"/>
      <scheme val="minor"/>
    </font>
    <font>
      <name val="Times New Roman"/>
      <charset val="163"/>
      <family val="1"/>
      <b val="1"/>
      <color theme="1"/>
      <sz val="12"/>
    </font>
    <font>
      <name val="Times New Roman"/>
      <charset val="163"/>
      <family val="1"/>
      <color theme="1"/>
      <sz val="12"/>
    </font>
    <font>
      <name val="Calibri"/>
      <charset val="1"/>
      <sz val="12"/>
    </font>
    <font>
      <name val="Calibri"/>
      <charset val="163"/>
      <family val="2"/>
      <color rgb="FF000000"/>
      <sz val="12"/>
    </font>
    <font>
      <name val="Calibri"/>
      <charset val="1"/>
      <family val="2"/>
      <color theme="1"/>
      <sz val="11"/>
    </font>
    <font>
      <name val="Calibri"/>
      <charset val="1"/>
      <family val="2"/>
      <color rgb="FF000000"/>
      <sz val="11"/>
    </font>
    <font>
      <name val="Calibri"/>
      <charset val="1"/>
      <family val="2"/>
      <sz val="12"/>
    </font>
    <font>
      <name val="Calibri"/>
      <charset val="1"/>
      <family val="2"/>
      <color rgb="FF000000"/>
      <sz val="12"/>
    </font>
    <font>
      <name val="Arial"/>
      <charset val="1"/>
      <family val="2"/>
      <color rgb="FF000000"/>
      <sz val="10"/>
    </font>
    <font>
      <name val="Calibri"/>
      <charset val="163"/>
      <family val="2"/>
      <sz val="12"/>
    </font>
    <font>
      <name val="Calibri"/>
      <family val="2"/>
      <sz val="12"/>
    </font>
    <font>
      <name val="Arial"/>
      <family val="2"/>
      <sz val="10"/>
    </font>
  </fonts>
  <fills count="5">
    <fill>
      <patternFill/>
    </fill>
    <fill>
      <patternFill patternType="gray125"/>
    </fill>
    <fill>
      <patternFill patternType="solid">
        <fgColor theme="7" tint="0.3999755851924192"/>
        <bgColor indexed="64"/>
      </patternFill>
    </fill>
    <fill>
      <patternFill patternType="solid">
        <fgColor rgb="FFFFFF00"/>
        <bgColor indexed="64"/>
      </patternFill>
    </fill>
    <fill>
      <patternFill patternType="solid">
        <fgColor theme="7" tint="0.7999816888943144"/>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top style="thin">
        <color rgb="FF000000"/>
      </top>
      <bottom style="thin">
        <color rgb="FF000000"/>
      </bottom>
      <diagonal/>
    </border>
    <border>
      <left style="thin">
        <color indexed="64"/>
      </left>
      <right style="thin">
        <color indexed="64"/>
      </right>
      <top/>
      <bottom/>
      <diagonal/>
    </border>
    <border>
      <left style="thin">
        <color rgb="FF000000"/>
      </left>
      <right style="thin">
        <color rgb="FF000000"/>
      </right>
      <top/>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8">
    <xf numFmtId="0" fontId="3" fillId="0" borderId="0"/>
    <xf numFmtId="164" fontId="3" fillId="0" borderId="0"/>
    <xf numFmtId="0" fontId="7" fillId="0" borderId="0"/>
    <xf numFmtId="169" fontId="7" fillId="0" borderId="0"/>
    <xf numFmtId="9" fontId="7" fillId="0" borderId="0"/>
    <xf numFmtId="43" fontId="7" fillId="0" borderId="0"/>
    <xf numFmtId="0" fontId="16" fillId="0" borderId="0"/>
    <xf numFmtId="170" fontId="24" fillId="0" borderId="0"/>
    <xf numFmtId="170" fontId="24" fillId="0" borderId="0"/>
    <xf numFmtId="171" fontId="24" fillId="0" borderId="0"/>
    <xf numFmtId="171" fontId="24" fillId="0" borderId="0"/>
    <xf numFmtId="170" fontId="24" fillId="0" borderId="0"/>
    <xf numFmtId="170" fontId="24" fillId="0" borderId="0"/>
    <xf numFmtId="170" fontId="24" fillId="0" borderId="0"/>
    <xf numFmtId="170" fontId="24" fillId="0" borderId="0"/>
    <xf numFmtId="170" fontId="24" fillId="0" borderId="0"/>
    <xf numFmtId="170" fontId="24" fillId="0" borderId="0"/>
    <xf numFmtId="170" fontId="24" fillId="0" borderId="0"/>
    <xf numFmtId="170" fontId="24" fillId="0" borderId="0"/>
    <xf numFmtId="170" fontId="24" fillId="0" borderId="0"/>
    <xf numFmtId="170" fontId="24" fillId="0" borderId="0"/>
    <xf numFmtId="0" fontId="17" fillId="0" borderId="0"/>
    <xf numFmtId="0" fontId="17" fillId="0" borderId="0"/>
    <xf numFmtId="0" fontId="18" fillId="0" borderId="0"/>
    <xf numFmtId="0" fontId="18" fillId="0" borderId="0"/>
    <xf numFmtId="0" fontId="19" fillId="0" borderId="0"/>
    <xf numFmtId="0" fontId="18" fillId="0" borderId="0"/>
    <xf numFmtId="0" fontId="20" fillId="0" borderId="0"/>
    <xf numFmtId="0" fontId="19" fillId="0" borderId="0"/>
    <xf numFmtId="0" fontId="18" fillId="0" borderId="0"/>
    <xf numFmtId="0" fontId="18" fillId="0" borderId="0"/>
    <xf numFmtId="0" fontId="18" fillId="0" borderId="0"/>
    <xf numFmtId="0" fontId="21" fillId="0" borderId="0"/>
    <xf numFmtId="0" fontId="22" fillId="0" borderId="0"/>
    <xf numFmtId="0" fontId="19" fillId="0" borderId="0"/>
    <xf numFmtId="0" fontId="23" fillId="0" borderId="0"/>
    <xf numFmtId="9" fontId="24" fillId="0" borderId="0"/>
    <xf numFmtId="0" fontId="3" fillId="0" borderId="0"/>
    <xf numFmtId="164" fontId="3" fillId="0" borderId="0"/>
    <xf numFmtId="0" fontId="7" fillId="0" borderId="0"/>
    <xf numFmtId="170" fontId="24" fillId="0" borderId="0"/>
    <xf numFmtId="43" fontId="7" fillId="0" borderId="0"/>
    <xf numFmtId="0" fontId="25" fillId="0" borderId="0"/>
    <xf numFmtId="0" fontId="7" fillId="0" borderId="0"/>
    <xf numFmtId="0" fontId="25" fillId="0" borderId="0"/>
    <xf numFmtId="0" fontId="25" fillId="0" borderId="0"/>
    <xf numFmtId="169" fontId="7" fillId="0" borderId="0"/>
    <xf numFmtId="43" fontId="3" fillId="0" borderId="0"/>
  </cellStyleXfs>
  <cellXfs count="126">
    <xf numFmtId="0" fontId="0" fillId="0" borderId="0" pivotButton="0" quotePrefix="0" xfId="0"/>
    <xf numFmtId="14" fontId="5" fillId="0" borderId="1" applyAlignment="1" pivotButton="0" quotePrefix="0" xfId="0">
      <alignment vertical="center"/>
    </xf>
    <xf numFmtId="164" fontId="5" fillId="0" borderId="1" applyAlignment="1" pivotButton="0" quotePrefix="0" xfId="1">
      <alignment vertical="center"/>
    </xf>
    <xf numFmtId="0" fontId="5" fillId="0" borderId="1" applyAlignment="1" pivotButton="0" quotePrefix="0" xfId="0">
      <alignment vertical="center"/>
    </xf>
    <xf numFmtId="14" fontId="6" fillId="0" borderId="1" applyAlignment="1" pivotButton="0" quotePrefix="0" xfId="0">
      <alignment vertical="center"/>
    </xf>
    <xf numFmtId="0" fontId="6" fillId="0" borderId="1" applyAlignment="1" pivotButton="0" quotePrefix="0" xfId="0">
      <alignment vertical="center"/>
    </xf>
    <xf numFmtId="164" fontId="6" fillId="0" borderId="1" applyAlignment="1" pivotButton="0" quotePrefix="0" xfId="1">
      <alignment vertical="center"/>
    </xf>
    <xf numFmtId="0" fontId="4" fillId="0" borderId="0" pivotButton="0" quotePrefix="0" xfId="0"/>
    <xf numFmtId="0" fontId="8" fillId="0" borderId="0" applyAlignment="1" pivotButton="0" quotePrefix="0" xfId="2">
      <alignment horizontal="center" vertical="center"/>
    </xf>
    <xf numFmtId="0" fontId="8" fillId="0" borderId="0" applyAlignment="1" pivotButton="0" quotePrefix="0" xfId="2">
      <alignment vertical="center"/>
    </xf>
    <xf numFmtId="0" fontId="8" fillId="0" borderId="0" pivotButton="0" quotePrefix="0" xfId="2"/>
    <xf numFmtId="165" fontId="8" fillId="0" borderId="0" applyAlignment="1" pivotButton="0" quotePrefix="0" xfId="3">
      <alignment vertical="center"/>
    </xf>
    <xf numFmtId="0" fontId="9" fillId="0" borderId="0" applyAlignment="1" pivotButton="0" quotePrefix="0" xfId="2">
      <alignment horizontal="center" vertical="center"/>
    </xf>
    <xf numFmtId="0" fontId="9" fillId="0" borderId="0" applyAlignment="1" pivotButton="0" quotePrefix="0" xfId="2">
      <alignment vertical="center" wrapText="1"/>
    </xf>
    <xf numFmtId="165" fontId="9" fillId="0" borderId="0" applyAlignment="1" pivotButton="0" quotePrefix="0" xfId="3">
      <alignment vertical="center" wrapText="1"/>
    </xf>
    <xf numFmtId="0" fontId="9" fillId="2" borderId="2" applyAlignment="1" pivotButton="0" quotePrefix="0" xfId="2">
      <alignment horizontal="center" vertical="center" wrapText="1"/>
    </xf>
    <xf numFmtId="165" fontId="9" fillId="0" borderId="0" applyAlignment="1" pivotButton="0" quotePrefix="0" xfId="3">
      <alignment horizontal="center" vertical="center"/>
    </xf>
    <xf numFmtId="0" fontId="8" fillId="0" borderId="2" applyAlignment="1" pivotButton="0" quotePrefix="0" xfId="2">
      <alignment horizontal="center" vertical="center" wrapText="1"/>
    </xf>
    <xf numFmtId="0" fontId="8" fillId="0" borderId="2" applyAlignment="1" pivotButton="0" quotePrefix="0" xfId="2">
      <alignment vertical="center" wrapText="1"/>
    </xf>
    <xf numFmtId="3" fontId="8" fillId="0" borderId="2" applyAlignment="1" pivotButton="0" quotePrefix="0" xfId="2">
      <alignment horizontal="center" vertical="center" wrapText="1"/>
    </xf>
    <xf numFmtId="9" fontId="8" fillId="0" borderId="2" applyAlignment="1" pivotButton="0" quotePrefix="0" xfId="2">
      <alignment horizontal="center" vertical="center" wrapText="1"/>
    </xf>
    <xf numFmtId="3" fontId="8" fillId="0" borderId="2" applyAlignment="1" pivotButton="0" quotePrefix="0" xfId="4">
      <alignment horizontal="center" vertical="center" wrapText="1"/>
    </xf>
    <xf numFmtId="9" fontId="8" fillId="0" borderId="2" applyAlignment="1" pivotButton="0" quotePrefix="0" xfId="4">
      <alignment horizontal="center" vertical="center" wrapText="1"/>
    </xf>
    <xf numFmtId="165" fontId="8" fillId="0" borderId="0" applyAlignment="1" pivotButton="0" quotePrefix="0" xfId="3">
      <alignment vertical="center" wrapText="1"/>
    </xf>
    <xf numFmtId="0" fontId="8" fillId="0" borderId="0" applyAlignment="1" pivotButton="0" quotePrefix="0" xfId="2">
      <alignment vertical="center" wrapText="1"/>
    </xf>
    <xf numFmtId="3" fontId="8" fillId="0" borderId="0" applyAlignment="1" pivotButton="0" quotePrefix="0" xfId="2">
      <alignment vertical="center" wrapText="1"/>
    </xf>
    <xf numFmtId="9" fontId="8" fillId="0" borderId="2" applyAlignment="1" pivotButton="0" quotePrefix="0" xfId="4">
      <alignment horizontal="center" vertical="center" wrapText="1"/>
    </xf>
    <xf numFmtId="9" fontId="8" fillId="3" borderId="2" applyAlignment="1" pivotButton="0" quotePrefix="0" xfId="2">
      <alignment horizontal="center" vertical="center" wrapText="1"/>
    </xf>
    <xf numFmtId="9" fontId="8" fillId="3" borderId="2" applyAlignment="1" pivotButton="0" quotePrefix="0" xfId="4">
      <alignment horizontal="center" vertical="center" wrapText="1"/>
    </xf>
    <xf numFmtId="0" fontId="8" fillId="0" borderId="3" applyAlignment="1" pivotButton="0" quotePrefix="0" xfId="2">
      <alignment horizontal="center" vertical="center" wrapText="1"/>
    </xf>
    <xf numFmtId="3" fontId="8" fillId="0" borderId="3" applyAlignment="1" pivotButton="0" quotePrefix="0" xfId="2">
      <alignment horizontal="center" vertical="center" wrapText="1"/>
    </xf>
    <xf numFmtId="3" fontId="9" fillId="4" borderId="2" applyAlignment="1" pivotButton="0" quotePrefix="0" xfId="2">
      <alignment horizontal="center" vertical="center"/>
    </xf>
    <xf numFmtId="3" fontId="8" fillId="0" borderId="0" applyAlignment="1" pivotButton="0" quotePrefix="0" xfId="2">
      <alignment vertical="center"/>
    </xf>
    <xf numFmtId="0" fontId="10" fillId="0" borderId="0" applyAlignment="1" pivotButton="0" quotePrefix="0" xfId="2">
      <alignment vertical="center"/>
    </xf>
    <xf numFmtId="0" fontId="8" fillId="0" borderId="2" applyAlignment="1" pivotButton="0" quotePrefix="1" xfId="2">
      <alignment horizontal="left" vertical="center" wrapText="1"/>
    </xf>
    <xf numFmtId="0" fontId="8" fillId="0" borderId="2" applyAlignment="1" pivotButton="0" quotePrefix="0" xfId="2">
      <alignment horizontal="center" vertical="center"/>
    </xf>
    <xf numFmtId="0" fontId="8" fillId="0" borderId="0" applyAlignment="1" pivotButton="0" quotePrefix="1" xfId="2">
      <alignment horizontal="center" vertical="center"/>
    </xf>
    <xf numFmtId="3" fontId="11" fillId="0" borderId="0" applyAlignment="1" pivotButton="0" quotePrefix="0" xfId="2">
      <alignment vertical="center"/>
    </xf>
    <xf numFmtId="3" fontId="9" fillId="0" borderId="0" applyAlignment="1" pivotButton="0" quotePrefix="0" xfId="2">
      <alignment vertical="center"/>
    </xf>
    <xf numFmtId="3" fontId="8" fillId="0" borderId="0" applyAlignment="1" pivotButton="0" quotePrefix="0" xfId="2">
      <alignment horizontal="center" vertical="center"/>
    </xf>
    <xf numFmtId="0" fontId="9" fillId="0" borderId="0" applyAlignment="1" pivotButton="0" quotePrefix="0" xfId="2">
      <alignment vertical="center"/>
    </xf>
    <xf numFmtId="165" fontId="9" fillId="0" borderId="0" applyAlignment="1" pivotButton="0" quotePrefix="0" xfId="3">
      <alignment vertical="center"/>
    </xf>
    <xf numFmtId="164" fontId="5" fillId="0" borderId="1" applyAlignment="1" pivotButton="0" quotePrefix="0" xfId="0">
      <alignment vertical="center"/>
    </xf>
    <xf numFmtId="0" fontId="7" fillId="0" borderId="0" pivotButton="0" quotePrefix="0" xfId="2"/>
    <xf numFmtId="166" fontId="0" fillId="0" borderId="1" applyAlignment="1" pivotButton="0" quotePrefix="0" xfId="5">
      <alignment vertical="center"/>
    </xf>
    <xf numFmtId="0" fontId="7" fillId="0" borderId="1" applyAlignment="1" pivotButton="0" quotePrefix="0" xfId="2">
      <alignment vertical="center"/>
    </xf>
    <xf numFmtId="14" fontId="7" fillId="0" borderId="1" applyAlignment="1" pivotButton="0" quotePrefix="0" xfId="2">
      <alignment vertical="center"/>
    </xf>
    <xf numFmtId="166" fontId="12" fillId="0" borderId="1" applyAlignment="1" pivotButton="0" quotePrefix="0" xfId="5">
      <alignment vertical="center"/>
    </xf>
    <xf numFmtId="167" fontId="12" fillId="0" borderId="1" applyAlignment="1" pivotButton="0" quotePrefix="0" xfId="2">
      <alignment vertical="center"/>
    </xf>
    <xf numFmtId="166" fontId="0" fillId="0" borderId="0" pivotButton="0" quotePrefix="0" xfId="5"/>
    <xf numFmtId="0" fontId="7" fillId="0" borderId="2" pivotButton="0" quotePrefix="0" xfId="2"/>
    <xf numFmtId="166" fontId="0" fillId="0" borderId="5" applyAlignment="1" pivotButton="0" quotePrefix="0" xfId="5">
      <alignment vertical="center"/>
    </xf>
    <xf numFmtId="166" fontId="0" fillId="0" borderId="2" applyAlignment="1" pivotButton="0" quotePrefix="0" xfId="5">
      <alignment vertical="center"/>
    </xf>
    <xf numFmtId="164" fontId="7" fillId="0" borderId="1" applyAlignment="1" pivotButton="0" quotePrefix="0" xfId="1">
      <alignment vertical="center"/>
    </xf>
    <xf numFmtId="164" fontId="7" fillId="0" borderId="0" pivotButton="0" quotePrefix="0" xfId="1"/>
    <xf numFmtId="164" fontId="12" fillId="0" borderId="1" applyAlignment="1" pivotButton="0" quotePrefix="0" xfId="1">
      <alignment vertical="center"/>
    </xf>
    <xf numFmtId="0" fontId="13" fillId="0" borderId="1" applyAlignment="1" pivotButton="0" quotePrefix="0" xfId="2">
      <alignment vertical="center"/>
    </xf>
    <xf numFmtId="168" fontId="13" fillId="0" borderId="1" applyAlignment="1" pivotButton="0" quotePrefix="0" xfId="2">
      <alignment vertical="center"/>
    </xf>
    <xf numFmtId="14" fontId="13" fillId="0" borderId="1" applyAlignment="1" pivotButton="0" quotePrefix="0" xfId="2">
      <alignment vertical="center"/>
    </xf>
    <xf numFmtId="164" fontId="13" fillId="0" borderId="1" applyAlignment="1" pivotButton="0" quotePrefix="0" xfId="1">
      <alignment vertical="center"/>
    </xf>
    <xf numFmtId="0" fontId="13" fillId="0" borderId="0" pivotButton="0" quotePrefix="0" xfId="2"/>
    <xf numFmtId="14" fontId="14" fillId="0" borderId="2" applyAlignment="1" pivotButton="0" quotePrefix="0" xfId="0">
      <alignment vertical="center"/>
    </xf>
    <xf numFmtId="164" fontId="14" fillId="0" borderId="2" applyAlignment="1" pivotButton="0" quotePrefix="0" xfId="1">
      <alignment vertical="center"/>
    </xf>
    <xf numFmtId="164" fontId="14" fillId="0" borderId="2" applyAlignment="1" pivotButton="0" quotePrefix="0" xfId="0">
      <alignment vertical="center"/>
    </xf>
    <xf numFmtId="0" fontId="14" fillId="0" borderId="2" applyAlignment="1" pivotButton="0" quotePrefix="0" xfId="0">
      <alignment vertical="center"/>
    </xf>
    <xf numFmtId="14" fontId="15" fillId="0" borderId="2" applyAlignment="1" pivotButton="0" quotePrefix="0" xfId="0">
      <alignment vertical="center"/>
    </xf>
    <xf numFmtId="0" fontId="15" fillId="0" borderId="2" applyAlignment="1" pivotButton="0" quotePrefix="0" xfId="0">
      <alignment vertical="center"/>
    </xf>
    <xf numFmtId="164" fontId="15" fillId="0" borderId="2" applyAlignment="1" pivotButton="0" quotePrefix="0" xfId="1">
      <alignment vertical="center"/>
    </xf>
    <xf numFmtId="14" fontId="15" fillId="0" borderId="2" pivotButton="0" quotePrefix="0" xfId="0"/>
    <xf numFmtId="0" fontId="15" fillId="0" borderId="2" pivotButton="0" quotePrefix="0" xfId="0"/>
    <xf numFmtId="164" fontId="15" fillId="0" borderId="2" applyAlignment="1" pivotButton="0" quotePrefix="0" xfId="1">
      <alignment vertical="center"/>
    </xf>
    <xf numFmtId="164" fontId="15" fillId="0" borderId="2" pivotButton="0" quotePrefix="0" xfId="0"/>
    <xf numFmtId="0" fontId="0" fillId="0" borderId="0" pivotButton="1" quotePrefix="0" xfId="0"/>
    <xf numFmtId="0" fontId="0" fillId="0" borderId="0" applyAlignment="1" pivotButton="0" quotePrefix="0" xfId="0">
      <alignment horizontal="left"/>
    </xf>
    <xf numFmtId="164" fontId="0" fillId="0" borderId="0" pivotButton="0" quotePrefix="0" xfId="0"/>
    <xf numFmtId="164" fontId="6" fillId="0" borderId="1" applyAlignment="1" pivotButton="0" quotePrefix="1" xfId="1">
      <alignment vertical="center"/>
    </xf>
    <xf numFmtId="164" fontId="15" fillId="0" borderId="2" applyAlignment="1" pivotButton="0" quotePrefix="1" xfId="1">
      <alignment vertical="center"/>
    </xf>
    <xf numFmtId="0" fontId="5" fillId="0" borderId="1" applyAlignment="1" pivotButton="0" quotePrefix="0" xfId="6">
      <alignment vertical="center"/>
    </xf>
    <xf numFmtId="0" fontId="6" fillId="0" borderId="1" applyAlignment="1" pivotButton="0" quotePrefix="0" xfId="6">
      <alignment vertical="center"/>
    </xf>
    <xf numFmtId="14" fontId="5" fillId="0" borderId="1" applyAlignment="1" pivotButton="0" quotePrefix="0" xfId="1">
      <alignment vertical="center"/>
    </xf>
    <xf numFmtId="14" fontId="0" fillId="0" borderId="0" pivotButton="0" quotePrefix="0" xfId="0"/>
    <xf numFmtId="0" fontId="14" fillId="0" borderId="0" applyAlignment="1" pivotButton="0" quotePrefix="0" xfId="0">
      <alignment vertical="center"/>
    </xf>
    <xf numFmtId="0" fontId="15" fillId="0" borderId="0" applyAlignment="1" pivotButton="0" quotePrefix="0" xfId="0">
      <alignment vertical="center"/>
    </xf>
    <xf numFmtId="166" fontId="14" fillId="0" borderId="6" applyAlignment="1" pivotButton="0" quotePrefix="0" xfId="47">
      <alignment vertical="center"/>
    </xf>
    <xf numFmtId="166" fontId="0" fillId="0" borderId="0" pivotButton="0" quotePrefix="0" xfId="47"/>
    <xf numFmtId="3" fontId="8" fillId="0" borderId="3" applyAlignment="1" pivotButton="0" quotePrefix="0" xfId="2">
      <alignment horizontal="center" vertical="center" wrapText="1"/>
    </xf>
    <xf numFmtId="3" fontId="8" fillId="0" borderId="4" applyAlignment="1" pivotButton="0" quotePrefix="0" xfId="2">
      <alignment horizontal="center" vertical="center" wrapText="1"/>
    </xf>
    <xf numFmtId="0" fontId="9" fillId="4" borderId="2" applyAlignment="1" pivotButton="0" quotePrefix="0" xfId="2">
      <alignment horizontal="center" vertical="center"/>
    </xf>
    <xf numFmtId="0" fontId="9" fillId="0" borderId="0" applyAlignment="1" pivotButton="0" quotePrefix="0" xfId="2">
      <alignment horizontal="center" vertical="center"/>
    </xf>
    <xf numFmtId="0" fontId="8" fillId="0" borderId="3" applyAlignment="1" pivotButton="0" quotePrefix="0" xfId="2">
      <alignment horizontal="center" vertical="center" wrapText="1"/>
    </xf>
    <xf numFmtId="0" fontId="8" fillId="0" borderId="4" applyAlignment="1" pivotButton="0" quotePrefix="0" xfId="2">
      <alignment horizontal="center" vertical="center" wrapText="1"/>
    </xf>
    <xf numFmtId="0" fontId="8" fillId="0" borderId="0" applyAlignment="1" pivotButton="0" quotePrefix="0" xfId="2">
      <alignment horizontal="center" vertical="center" wrapText="1"/>
    </xf>
    <xf numFmtId="0" fontId="8" fillId="0" borderId="0" applyAlignment="1" pivotButton="0" quotePrefix="0" xfId="2">
      <alignment horizontal="center" vertical="center"/>
    </xf>
    <xf numFmtId="0" fontId="9" fillId="0" borderId="0" applyAlignment="1" pivotButton="0" quotePrefix="0" xfId="2">
      <alignment horizontal="center" vertical="center" wrapText="1"/>
    </xf>
    <xf numFmtId="14" fontId="15" fillId="3" borderId="2" applyAlignment="1" pivotButton="0" quotePrefix="0" xfId="0">
      <alignment vertical="center"/>
    </xf>
    <xf numFmtId="0" fontId="15" fillId="3" borderId="2" applyAlignment="1" pivotButton="0" quotePrefix="0" xfId="0">
      <alignment vertical="center"/>
    </xf>
    <xf numFmtId="0" fontId="15" fillId="3" borderId="0" applyAlignment="1" pivotButton="0" quotePrefix="0" xfId="0">
      <alignment vertical="center"/>
    </xf>
    <xf numFmtId="0" fontId="6" fillId="3" borderId="1" applyAlignment="1" pivotButton="0" quotePrefix="0" xfId="0">
      <alignment vertical="center"/>
    </xf>
    <xf numFmtId="0" fontId="6" fillId="3" borderId="1" applyAlignment="1" pivotButton="0" quotePrefix="0" xfId="6">
      <alignment vertical="center"/>
    </xf>
    <xf numFmtId="14" fontId="6" fillId="3" borderId="1" applyAlignment="1" pivotButton="0" quotePrefix="0" xfId="0">
      <alignment vertical="center"/>
    </xf>
    <xf numFmtId="164" fontId="15" fillId="3" borderId="2" applyAlignment="1" pivotButton="0" quotePrefix="0" xfId="1">
      <alignment vertical="center"/>
    </xf>
    <xf numFmtId="166" fontId="0" fillId="3" borderId="0" pivotButton="0" quotePrefix="0" xfId="47"/>
    <xf numFmtId="0" fontId="0" fillId="3" borderId="0" pivotButton="0" quotePrefix="0" xfId="0"/>
    <xf numFmtId="16" fontId="4" fillId="0" borderId="0" pivotButton="0" quotePrefix="0" xfId="0"/>
    <xf numFmtId="164" fontId="5" fillId="0" borderId="7" applyAlignment="1" pivotButton="0" quotePrefix="0" xfId="1">
      <alignment vertical="center"/>
    </xf>
    <xf numFmtId="166" fontId="5" fillId="0" borderId="1" applyAlignment="1" pivotButton="0" quotePrefix="0" xfId="47">
      <alignment vertical="center"/>
    </xf>
    <xf numFmtId="166" fontId="5" fillId="0" borderId="7" applyAlignment="1" pivotButton="0" quotePrefix="0" xfId="47">
      <alignment vertical="center"/>
    </xf>
    <xf numFmtId="14" fontId="4" fillId="0" borderId="0" pivotButton="0" quotePrefix="0" xfId="0"/>
    <xf numFmtId="166" fontId="14" fillId="0" borderId="2" applyAlignment="1" pivotButton="0" quotePrefix="0" xfId="47">
      <alignment vertical="center"/>
    </xf>
    <xf numFmtId="0" fontId="1" fillId="0" borderId="0" pivotButton="0" quotePrefix="0" xfId="2"/>
    <xf numFmtId="16" fontId="7" fillId="0" borderId="0" pivotButton="0" quotePrefix="0" xfId="2"/>
    <xf numFmtId="166" fontId="0" fillId="0" borderId="1" applyAlignment="1" pivotButton="0" quotePrefix="0" xfId="47">
      <alignment vertical="center"/>
    </xf>
    <xf numFmtId="166" fontId="1" fillId="0" borderId="0" pivotButton="0" quotePrefix="0" xfId="47"/>
    <xf numFmtId="166" fontId="7" fillId="0" borderId="0" pivotButton="0" quotePrefix="0" xfId="47"/>
    <xf numFmtId="16" fontId="13" fillId="0" borderId="0" pivotButton="0" quotePrefix="0" xfId="2"/>
    <xf numFmtId="0" fontId="0" fillId="0" borderId="0" applyAlignment="1" pivotButton="0" quotePrefix="0" xfId="0">
      <alignment horizontal="left" indent="1"/>
    </xf>
    <xf numFmtId="166" fontId="0" fillId="0" borderId="0" pivotButton="0" quotePrefix="0" xfId="0"/>
    <xf numFmtId="166" fontId="13" fillId="0" borderId="0" pivotButton="0" quotePrefix="0" xfId="47"/>
    <xf numFmtId="165" fontId="8" fillId="0" borderId="0" applyAlignment="1" pivotButton="0" quotePrefix="0" xfId="3">
      <alignment vertical="center"/>
    </xf>
    <xf numFmtId="165" fontId="9" fillId="0" borderId="0" applyAlignment="1" pivotButton="0" quotePrefix="0" xfId="3">
      <alignment vertical="center" wrapText="1"/>
    </xf>
    <xf numFmtId="165" fontId="9" fillId="0" borderId="0" applyAlignment="1" pivotButton="0" quotePrefix="0" xfId="3">
      <alignment horizontal="center" vertical="center"/>
    </xf>
    <xf numFmtId="165" fontId="8" fillId="0" borderId="0" applyAlignment="1" pivotButton="0" quotePrefix="0" xfId="3">
      <alignment vertical="center" wrapText="1"/>
    </xf>
    <xf numFmtId="0" fontId="0" fillId="0" borderId="4" pivotButton="0" quotePrefix="0" xfId="0"/>
    <xf numFmtId="0" fontId="0" fillId="0" borderId="11" pivotButton="0" quotePrefix="0" xfId="0"/>
    <xf numFmtId="0" fontId="0" fillId="0" borderId="12" pivotButton="0" quotePrefix="0" xfId="0"/>
    <xf numFmtId="165" fontId="9" fillId="0" borderId="0" applyAlignment="1" pivotButton="0" quotePrefix="0" xfId="3">
      <alignment vertical="center"/>
    </xf>
  </cellXfs>
  <cellStyles count="48">
    <cellStyle name="Normal" xfId="0" builtinId="0"/>
    <cellStyle name="Comma [0]" xfId="1" builtinId="6"/>
    <cellStyle name="Bình thường 2" xfId="2"/>
    <cellStyle name="Dấu phẩy 2" xfId="3"/>
    <cellStyle name="Phần trăm 2" xfId="4"/>
    <cellStyle name="Dấu phẩy 3" xfId="5"/>
    <cellStyle name="Normal 14" xfId="6"/>
    <cellStyle name="Comma 11" xfId="7"/>
    <cellStyle name="Comma 10" xfId="8"/>
    <cellStyle name="Comma 2" xfId="9"/>
    <cellStyle name="Comma 2 2" xfId="10"/>
    <cellStyle name="Comma 2 2 2" xfId="11"/>
    <cellStyle name="Comma 2 3" xfId="12"/>
    <cellStyle name="Comma 3" xfId="13"/>
    <cellStyle name="Comma 4" xfId="14"/>
    <cellStyle name="Comma 5" xfId="15"/>
    <cellStyle name="Comma 5 2" xfId="16"/>
    <cellStyle name="Comma 6" xfId="17"/>
    <cellStyle name="Comma 7" xfId="18"/>
    <cellStyle name="Comma 8" xfId="19"/>
    <cellStyle name="Comma 9" xfId="20"/>
    <cellStyle name="Normal 10" xfId="21"/>
    <cellStyle name="Normal 11" xfId="22"/>
    <cellStyle name="Normal 12" xfId="23"/>
    <cellStyle name="Normal 2" xfId="24"/>
    <cellStyle name="Normal 2 2" xfId="25"/>
    <cellStyle name="Normal 2 3" xfId="26"/>
    <cellStyle name="Normal 3" xfId="27"/>
    <cellStyle name="Normal 3 2" xfId="28"/>
    <cellStyle name="Normal 4" xfId="29"/>
    <cellStyle name="Normal 4 2" xfId="30"/>
    <cellStyle name="Normal 5" xfId="31"/>
    <cellStyle name="Normal 6" xfId="32"/>
    <cellStyle name="Normal 7" xfId="33"/>
    <cellStyle name="Normal 8" xfId="34"/>
    <cellStyle name="Normal 9" xfId="35"/>
    <cellStyle name="Percent 2" xfId="36"/>
    <cellStyle name="Normal 13" xfId="37"/>
    <cellStyle name="Comma [0] 2" xfId="38"/>
    <cellStyle name="Bình thường 2 2" xfId="39"/>
    <cellStyle name="Comma 12" xfId="40"/>
    <cellStyle name="Dấu phẩy 3 2" xfId="41"/>
    <cellStyle name="Bình thường 2 2 2" xfId="42"/>
    <cellStyle name="Normal 4 3 2 3 24" xfId="43"/>
    <cellStyle name="Comma 2 21 2" xfId="44"/>
    <cellStyle name="Normal 2 2 2 32" xfId="45"/>
    <cellStyle name="Dấu phẩy 2 2" xfId="46"/>
    <cellStyle name="Comma" xfId="47" builtinId="3"/>
  </cellStyles>
  <dxfs count="6">
    <dxf>
      <fill>
        <patternFill patternType="solid">
          <bgColor rgb="FF00FFFF"/>
        </patternFill>
      </fill>
    </dxf>
    <dxf>
      <fill>
        <patternFill patternType="solid">
          <bgColor rgb="FF00FFFF"/>
        </patternFill>
      </fill>
    </dxf>
    <dxf>
      <fill>
        <patternFill patternType="solid">
          <bgColor rgb="FF00FFFF"/>
        </patternFill>
      </fill>
    </dxf>
    <dxf>
      <fill>
        <patternFill patternType="solid">
          <bgColor rgb="FF00FFFF"/>
        </patternFill>
      </fill>
    </dxf>
    <dxf>
      <fill>
        <patternFill patternType="solid">
          <bgColor rgb="FF00FFFF"/>
        </patternFill>
      </fill>
    </dxf>
    <dxf>
      <fill>
        <patternFill patternType="solid">
          <bgColor rgb="FF00FFFF"/>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fitToPage="1"/>
  </sheetPr>
  <dimension ref="A1:R144"/>
  <sheetViews>
    <sheetView showGridLines="0" topLeftCell="A3" zoomScale="85" zoomScaleNormal="85" zoomScaleSheetLayoutView="100" workbookViewId="0">
      <selection activeCell="K19" sqref="K19"/>
    </sheetView>
  </sheetViews>
  <sheetFormatPr baseColWidth="8" defaultColWidth="9.140625" defaultRowHeight="16.5"/>
  <cols>
    <col width="5.5703125" customWidth="1" style="9" min="1" max="1"/>
    <col width="40.28515625" customWidth="1" style="9" min="2" max="2"/>
    <col width="17.140625" bestFit="1" customWidth="1" style="9" min="3" max="3"/>
    <col width="19.42578125" customWidth="1" style="9" min="4" max="4"/>
    <col width="10.42578125" customWidth="1" style="9" min="5" max="5"/>
    <col width="21" customWidth="1" style="9" min="6" max="6"/>
    <col width="9.5703125" customWidth="1" style="9" min="7" max="7"/>
    <col width="24.140625" customWidth="1" style="9" min="8" max="8"/>
    <col width="13.5703125" customWidth="1" style="9" min="9" max="9"/>
    <col width="21.42578125" customWidth="1" style="9" min="10" max="10"/>
    <col width="15.5703125" customWidth="1" style="9" min="11" max="11"/>
    <col width="30.5703125" customWidth="1" style="9" min="12" max="12"/>
    <col width="16.5703125" bestFit="1" customWidth="1" style="118" min="13" max="13"/>
    <col width="13.5703125" bestFit="1" customWidth="1" style="9" min="14" max="14"/>
    <col width="14.42578125" bestFit="1" customWidth="1" style="9" min="15" max="15"/>
    <col width="12.5703125" bestFit="1" customWidth="1" style="9" min="16" max="16"/>
    <col width="9.140625" customWidth="1" style="9" min="17" max="17"/>
    <col width="14.140625" bestFit="1" customWidth="1" style="9" min="18" max="18"/>
    <col width="9.140625" customWidth="1" style="9" min="19" max="16384"/>
  </cols>
  <sheetData>
    <row r="1"/>
    <row r="2" ht="33" customHeight="1">
      <c r="A2" s="91" t="inlineStr">
        <is>
          <t>TỔNG CÔNG TY BẢO HIỂM PVI
CHI NHÁNH BẢO HIỂM PVI DIGITAL</t>
        </is>
      </c>
      <c r="H2" s="10" t="n"/>
      <c r="I2" s="10" t="n"/>
      <c r="J2" s="10" t="n"/>
    </row>
    <row r="3">
      <c r="A3" s="88" t="inlineStr">
        <is>
          <t>PHÒNG BẢO HIỂM THIẾT BỊ VÀ HỖN HỢP</t>
        </is>
      </c>
    </row>
    <row r="4">
      <c r="A4" s="92" t="inlineStr">
        <is>
          <t>_________</t>
        </is>
      </c>
    </row>
    <row r="5"/>
    <row r="6" ht="36.75" customHeight="1">
      <c r="C6" s="93" t="inlineStr">
        <is>
          <t>BIÊN BẢN ĐỐI SOÁT CHƯƠNG TRÌNH BẢO HIỂM THÁNG 08/2026</t>
        </is>
      </c>
      <c r="L6" s="13" t="n"/>
      <c r="M6" s="119" t="n"/>
    </row>
    <row r="7">
      <c r="C7" s="92" t="inlineStr">
        <is>
          <t>Kỳ thanh toán: Từ ngày 01/08/2026 đến ngày 31/08/2026</t>
        </is>
      </c>
    </row>
    <row r="8"/>
    <row r="9" ht="72" customFormat="1" customHeight="1" s="88">
      <c r="A9" s="15" t="inlineStr">
        <is>
          <t>STT</t>
        </is>
      </c>
      <c r="B9" s="15" t="inlineStr">
        <is>
          <t>Sản phẩm</t>
        </is>
      </c>
      <c r="C9" s="15" t="inlineStr">
        <is>
          <t>Tổng số đơn BH</t>
        </is>
      </c>
      <c r="D9" s="15" t="inlineStr">
        <is>
          <t>Phí bảo hiểm (chưa VAT)</t>
        </is>
      </c>
      <c r="E9" s="15" t="inlineStr">
        <is>
          <t>VAT</t>
        </is>
      </c>
      <c r="F9" s="15" t="inlineStr">
        <is>
          <t>Phí bảo hiểm (bao gồm VAT)</t>
        </is>
      </c>
      <c r="G9" s="15" t="inlineStr">
        <is>
          <t>Tỷ lệ hoa hồng (%)</t>
        </is>
      </c>
      <c r="H9" s="15" t="inlineStr">
        <is>
          <t>Hoa hồng đại lý</t>
        </is>
      </c>
      <c r="I9" s="15" t="inlineStr">
        <is>
          <t>Tỷ lệ hỗ trợ 
đại lý (%)</t>
        </is>
      </c>
      <c r="J9" s="15" t="inlineStr">
        <is>
          <t>Phí hỗ trợ đại lý
(bao gồm 
10% VAT)</t>
        </is>
      </c>
      <c r="K9" s="15" t="inlineStr">
        <is>
          <t>Tỷ lệ phí dịch vụ (%)</t>
        </is>
      </c>
      <c r="L9" s="15" t="inlineStr">
        <is>
          <t>Phí dịch vụ
(bao gồm 
10% VAT)</t>
        </is>
      </c>
      <c r="M9" s="120" t="n"/>
    </row>
    <row r="10" customFormat="1" s="24">
      <c r="A10" s="17" t="n">
        <v>1</v>
      </c>
      <c r="B10" s="18" t="inlineStr">
        <is>
          <t>Bắt buộc TNDS chủ xe máy</t>
        </is>
      </c>
      <c r="C10" s="17" t="n"/>
      <c r="D10" s="19" t="n"/>
      <c r="E10" s="20" t="n">
        <v>0.1</v>
      </c>
      <c r="F10" s="19">
        <f>D10*(1+E10)</f>
        <v/>
      </c>
      <c r="G10" s="20" t="n">
        <v>0.2</v>
      </c>
      <c r="H10" s="19">
        <f>D10*G10</f>
        <v/>
      </c>
      <c r="I10" s="21" t="n"/>
      <c r="J10" s="19">
        <f>D10*I10</f>
        <v/>
      </c>
      <c r="K10" s="26" t="n">
        <v>0.6</v>
      </c>
      <c r="L10" s="19">
        <f>D10*K10</f>
        <v/>
      </c>
      <c r="M10" s="121" t="n"/>
    </row>
    <row r="11" ht="33" customFormat="1" customHeight="1" s="24">
      <c r="A11" s="17" t="n">
        <v>2</v>
      </c>
      <c r="B11" s="18" t="inlineStr">
        <is>
          <t>Trách nhiệm bồi thường đối với người ngồi trên xe máy</t>
        </is>
      </c>
      <c r="C11" s="17" t="n"/>
      <c r="D11" s="19" t="n"/>
      <c r="E11" s="20" t="n">
        <v>0.1</v>
      </c>
      <c r="F11" s="19">
        <f>D11*(1+E11)</f>
        <v/>
      </c>
      <c r="G11" s="20" t="n">
        <v>0.05</v>
      </c>
      <c r="H11" s="19">
        <f>D11*G11</f>
        <v/>
      </c>
      <c r="I11" s="21" t="n"/>
      <c r="J11" s="19">
        <f>D11*I11</f>
        <v/>
      </c>
      <c r="K11" s="26" t="n">
        <v>0.75</v>
      </c>
      <c r="L11" s="19">
        <f>D11*K11</f>
        <v/>
      </c>
      <c r="M11" s="121" t="n"/>
    </row>
    <row r="12" customFormat="1" s="24">
      <c r="A12" s="17" t="n">
        <v>3</v>
      </c>
      <c r="B12" s="18" t="inlineStr">
        <is>
          <t>Bắt buộc TNDS chủ xe ô tô</t>
        </is>
      </c>
      <c r="C12" s="17" t="n"/>
      <c r="D12" s="19" t="n"/>
      <c r="E12" s="20" t="n">
        <v>0.1</v>
      </c>
      <c r="F12" s="19">
        <f>D12*(1+E12)</f>
        <v/>
      </c>
      <c r="G12" s="20" t="n">
        <v>0.05</v>
      </c>
      <c r="H12" s="19">
        <f>D12*G12</f>
        <v/>
      </c>
      <c r="I12" s="21" t="n"/>
      <c r="J12" s="19">
        <f>D12*I12</f>
        <v/>
      </c>
      <c r="K12" s="26" t="n">
        <v>0.616</v>
      </c>
      <c r="L12" s="19">
        <f>D12*K12</f>
        <v/>
      </c>
      <c r="M12" s="121" t="n"/>
      <c r="O12" s="25" t="n"/>
      <c r="P12" s="25" t="n"/>
    </row>
    <row r="13" ht="33" customFormat="1" customHeight="1" s="24">
      <c r="A13" s="17" t="n">
        <v>4</v>
      </c>
      <c r="B13" s="18" t="inlineStr">
        <is>
          <t>Trách nhiệm bồi thường đối với người ngồi trên xe ô tô</t>
        </is>
      </c>
      <c r="C13" s="17" t="n"/>
      <c r="D13" s="19" t="n"/>
      <c r="E13" s="20" t="n">
        <v>0.1</v>
      </c>
      <c r="F13" s="19">
        <f>D13*(1+E13)</f>
        <v/>
      </c>
      <c r="G13" s="20" t="n">
        <v>0.05</v>
      </c>
      <c r="H13" s="19">
        <f>D13*G13</f>
        <v/>
      </c>
      <c r="I13" s="19" t="n"/>
      <c r="J13" s="19">
        <f>D13*I13</f>
        <v/>
      </c>
      <c r="K13" s="26" t="n">
        <v>0.616</v>
      </c>
      <c r="L13" s="19">
        <f>D13*K13</f>
        <v/>
      </c>
      <c r="M13" s="121" t="n"/>
    </row>
    <row r="14" customFormat="1" s="24">
      <c r="A14" s="17" t="n">
        <v>5</v>
      </c>
      <c r="B14" s="18" t="inlineStr">
        <is>
          <t>Tai nạn cá nhân</t>
        </is>
      </c>
      <c r="C14" s="17" t="n"/>
      <c r="D14" s="19" t="n"/>
      <c r="E14" s="20" t="n"/>
      <c r="F14" s="19">
        <f>D14*(1+E14)</f>
        <v/>
      </c>
      <c r="G14" s="20" t="n">
        <v>0.2</v>
      </c>
      <c r="H14" s="19">
        <f>D14*G14</f>
        <v/>
      </c>
      <c r="I14" s="21" t="n"/>
      <c r="J14" s="19">
        <f>D14*I14</f>
        <v/>
      </c>
      <c r="K14" s="26" t="n">
        <v>0.4</v>
      </c>
      <c r="L14" s="19">
        <f>D14*K14</f>
        <v/>
      </c>
      <c r="M14" s="121" t="n"/>
    </row>
    <row r="15" hidden="1" customFormat="1" s="24">
      <c r="A15" s="17" t="n">
        <v>6</v>
      </c>
      <c r="B15" s="18" t="inlineStr">
        <is>
          <t>Bệnh hiểm nghèo</t>
        </is>
      </c>
      <c r="C15" s="17" t="n"/>
      <c r="D15" s="19" t="n"/>
      <c r="E15" s="20" t="n"/>
      <c r="F15" s="19">
        <f>D15*(1+E15)</f>
        <v/>
      </c>
      <c r="G15" s="20" t="n">
        <v>0.15</v>
      </c>
      <c r="H15" s="19">
        <f>D15*G15</f>
        <v/>
      </c>
      <c r="I15" s="21" t="n"/>
      <c r="J15" s="19">
        <f>D15*I15</f>
        <v/>
      </c>
      <c r="K15" s="26" t="n">
        <v>0.15</v>
      </c>
      <c r="L15" s="19">
        <f>D15*K15</f>
        <v/>
      </c>
      <c r="M15" s="121" t="n"/>
    </row>
    <row r="16" hidden="1" customFormat="1" s="24">
      <c r="A16" s="17" t="n">
        <v>7</v>
      </c>
      <c r="B16" s="18" t="inlineStr">
        <is>
          <t>Chăm sóc sức khỏe toàn diện</t>
        </is>
      </c>
      <c r="C16" s="17" t="n"/>
      <c r="D16" s="19" t="n"/>
      <c r="E16" s="20" t="n"/>
      <c r="F16" s="19">
        <f>D16*(1+E16)</f>
        <v/>
      </c>
      <c r="G16" s="20" t="n">
        <v>0.15</v>
      </c>
      <c r="H16" s="19">
        <f>D16*G16</f>
        <v/>
      </c>
      <c r="I16" s="26" t="n"/>
      <c r="J16" s="19">
        <f>D16*I16</f>
        <v/>
      </c>
      <c r="K16" s="26" t="n"/>
      <c r="L16" s="19">
        <f>D16*K16</f>
        <v/>
      </c>
      <c r="M16" s="121" t="n"/>
    </row>
    <row r="17" hidden="1" customFormat="1" s="24">
      <c r="A17" s="17" t="n">
        <v>8</v>
      </c>
      <c r="B17" s="18" t="inlineStr">
        <is>
          <t>Tai nạn  Sức khỏe nhóm</t>
        </is>
      </c>
      <c r="C17" s="17" t="n"/>
      <c r="D17" s="19" t="n"/>
      <c r="E17" s="20" t="n"/>
      <c r="F17" s="19">
        <f>D17*(1+E17)</f>
        <v/>
      </c>
      <c r="G17" s="27" t="n"/>
      <c r="H17" s="19">
        <f>D17*G17</f>
        <v/>
      </c>
      <c r="I17" s="28" t="n"/>
      <c r="J17" s="19">
        <f>D17*I17</f>
        <v/>
      </c>
      <c r="K17" s="28" t="n"/>
      <c r="L17" s="19">
        <f>D17*K17</f>
        <v/>
      </c>
      <c r="M17" s="121" t="n"/>
    </row>
    <row r="18" hidden="1" customFormat="1" s="24">
      <c r="A18" s="89" t="n"/>
      <c r="B18" s="18" t="inlineStr">
        <is>
          <t>Bệnh hiểm nghèo</t>
        </is>
      </c>
      <c r="C18" s="89" t="n"/>
      <c r="D18" s="85" t="n"/>
      <c r="E18" s="20" t="n"/>
      <c r="F18" s="85" t="n"/>
      <c r="G18" s="27" t="n"/>
      <c r="H18" s="19" t="n"/>
      <c r="I18" s="28" t="n"/>
      <c r="J18" s="19" t="n"/>
      <c r="K18" s="28" t="n"/>
      <c r="L18" s="85" t="n"/>
      <c r="M18" s="121" t="n"/>
    </row>
    <row r="19" customFormat="1" s="24">
      <c r="A19" s="17" t="n">
        <v>6</v>
      </c>
      <c r="B19" s="18" t="inlineStr">
        <is>
          <t>Tai nạn toàn diện</t>
        </is>
      </c>
      <c r="C19" s="17" t="n"/>
      <c r="D19" s="19" t="n"/>
      <c r="E19" s="20" t="n"/>
      <c r="F19" s="19">
        <f>D19*(1+E19)</f>
        <v/>
      </c>
      <c r="G19" s="20" t="n">
        <v>0.2</v>
      </c>
      <c r="H19" s="19">
        <f>D19*G19</f>
        <v/>
      </c>
      <c r="I19" s="26" t="n">
        <v>0.2</v>
      </c>
      <c r="J19" s="19">
        <f>D19*I19</f>
        <v/>
      </c>
      <c r="K19" s="26" t="n">
        <v>0.5</v>
      </c>
      <c r="L19" s="19">
        <f>D19*K19</f>
        <v/>
      </c>
      <c r="M19" s="121" t="n"/>
    </row>
    <row r="20" ht="66" customFormat="1" customHeight="1" s="24">
      <c r="A20" s="122" t="n"/>
      <c r="B20" s="18" t="inlineStr">
        <is>
          <t>Điều kiện, tiêu chuẩn kỹ thuật theo Hợp đồng dịch vụ nền tảng công nghệ và hạ tầng kỹ thuật số …../2026/HĐDV/PVI-FUSE (*)</t>
        </is>
      </c>
      <c r="C20" s="122" t="n"/>
      <c r="D20" s="122" t="n"/>
      <c r="E20" s="20" t="n"/>
      <c r="F20" s="122" t="n"/>
      <c r="G20" s="20" t="n"/>
      <c r="H20" s="19" t="n"/>
      <c r="I20" s="26" t="n"/>
      <c r="J20" s="19" t="n"/>
      <c r="K20" s="26" t="n"/>
      <c r="L20" s="122" t="n"/>
      <c r="M20" s="121" t="n"/>
    </row>
    <row r="21" ht="33.75" customHeight="1">
      <c r="A21" s="87" t="inlineStr">
        <is>
          <t>TỔNG CỘNG</t>
        </is>
      </c>
      <c r="B21" s="123" t="n"/>
      <c r="C21" s="124" t="n"/>
      <c r="D21" s="31">
        <f>SUM(D10:D20)</f>
        <v/>
      </c>
      <c r="E21" s="31" t="n"/>
      <c r="F21" s="31">
        <f>SUM(F10:F20)</f>
        <v/>
      </c>
      <c r="G21" s="31" t="n"/>
      <c r="H21" s="31">
        <f>SUM(H10:H20)</f>
        <v/>
      </c>
      <c r="I21" s="31">
        <f>SUM(I10:I20)</f>
        <v/>
      </c>
      <c r="J21" s="31">
        <f>SUM(J10:J20)</f>
        <v/>
      </c>
      <c r="K21" s="31" t="n"/>
      <c r="L21" s="31">
        <f>SUM(L10:L20)</f>
        <v/>
      </c>
      <c r="M21" s="118">
        <f>H21+J21+L21</f>
        <v/>
      </c>
      <c r="R21" s="32" t="n"/>
    </row>
    <row r="23" ht="17.25" customHeight="1">
      <c r="B23" s="33" t="inlineStr">
        <is>
          <t>(*) Cơ sở nghiệm thu:</t>
        </is>
      </c>
      <c r="H23" s="32" t="n"/>
    </row>
    <row r="24" ht="99" customHeight="1">
      <c r="B24" s="34" t="inlineStr">
        <is>
          <t>- Hệ thống ghi nhận thành công các đơn bảo hiểm được cấp qua API.
- Dữ liệu được truyền tải, cập nhật và khớp đúng với Hệ thống của PVID theo thời gian thực, đầy đủ các trường thông tin được yêu cầu.</t>
        </is>
      </c>
      <c r="C24" s="35" t="inlineStr">
        <is>
          <t>Đạt / Không đạt</t>
        </is>
      </c>
      <c r="H24" s="32" t="n"/>
    </row>
    <row r="25" ht="99" customHeight="1">
      <c r="B25" s="34" t="inlineStr">
        <is>
          <t>- Hệ thống Fuse gửi Giấy chứng nhận bảo hiểm/Hợp đồng bảo hiểm điện tử thành công.
- Nội dung và định dạng tin nhắn, tài liệu đính kèm đúng theo yêu cầu kỹ thuật và mẫu do PVID phê duyệt.</t>
        </is>
      </c>
      <c r="C25" s="35" t="inlineStr">
        <is>
          <t>Đạt / Không đạt</t>
        </is>
      </c>
      <c r="H25" s="32" t="n"/>
    </row>
    <row r="26" ht="66" customHeight="1">
      <c r="B26" s="34" t="inlineStr">
        <is>
          <t>- Nền tảng công nghệ của Fuse được vận hành ổn định và xử lý kịp thời các sự cố kỹ thuật và khôi phục hệ thống trong trường hợp gián đoạn (nếu có)</t>
        </is>
      </c>
      <c r="C26" s="35" t="inlineStr">
        <is>
          <t>Đạt / Không đạt</t>
        </is>
      </c>
      <c r="H26" s="32" t="n"/>
    </row>
    <row r="27">
      <c r="H27" s="32" t="n"/>
    </row>
    <row r="28">
      <c r="A28" s="36" t="inlineStr">
        <is>
          <t>(1)</t>
        </is>
      </c>
      <c r="B28" s="9" t="inlineStr">
        <is>
          <t>Tổng phí bảo hiểm (chưa VAT)</t>
        </is>
      </c>
      <c r="F28" s="37">
        <f>D21</f>
        <v/>
      </c>
      <c r="G28" s="38" t="n"/>
      <c r="H28" s="32" t="n"/>
      <c r="L28" s="32" t="n"/>
    </row>
    <row r="29">
      <c r="A29" s="36" t="inlineStr">
        <is>
          <t>(2)</t>
        </is>
      </c>
      <c r="B29" s="9" t="inlineStr">
        <is>
          <t>Tổng phí bảo hiểm (bao gồm VAT)</t>
        </is>
      </c>
      <c r="F29" s="38">
        <f>F21</f>
        <v/>
      </c>
      <c r="G29" s="38" t="n"/>
      <c r="H29" s="32" t="n"/>
      <c r="L29" s="32" t="n"/>
    </row>
    <row r="30">
      <c r="A30" s="36" t="inlineStr">
        <is>
          <t>(3)</t>
        </is>
      </c>
      <c r="B30" s="9" t="inlineStr">
        <is>
          <t>Hoa hồng Đại lý</t>
        </is>
      </c>
      <c r="F30" s="37">
        <f>H21</f>
        <v/>
      </c>
      <c r="G30" s="38" t="n"/>
    </row>
    <row r="31">
      <c r="A31" s="36" t="inlineStr">
        <is>
          <t>(4)</t>
        </is>
      </c>
      <c r="B31" s="9" t="inlineStr">
        <is>
          <t>Phí hỗ trợ đại lý (bao gồm VAT)</t>
        </is>
      </c>
      <c r="C31" s="32" t="n"/>
      <c r="F31" s="37">
        <f>J21</f>
        <v/>
      </c>
      <c r="G31" s="38" t="n"/>
      <c r="H31" s="32" t="n"/>
    </row>
    <row r="32">
      <c r="A32" s="36" t="inlineStr">
        <is>
          <t>(5)</t>
        </is>
      </c>
      <c r="B32" s="9" t="inlineStr">
        <is>
          <t>Phí dịch vụ (bao gồm VAT)</t>
        </is>
      </c>
      <c r="F32" s="37">
        <f>L21</f>
        <v/>
      </c>
      <c r="G32" s="38" t="n"/>
    </row>
    <row r="33">
      <c r="A33" s="36" t="inlineStr">
        <is>
          <t>(6)</t>
        </is>
      </c>
      <c r="B33" s="9" t="inlineStr">
        <is>
          <t>Tổng phí BH PVID đã nhận</t>
        </is>
      </c>
      <c r="F33" s="37" t="n"/>
      <c r="G33" s="38" t="n"/>
      <c r="H33" s="32" t="n"/>
      <c r="L33" s="32" t="n"/>
    </row>
    <row r="34">
      <c r="A34" s="36" t="inlineStr">
        <is>
          <t>(7)</t>
        </is>
      </c>
      <c r="B34" s="9" t="inlineStr">
        <is>
          <t>Tổng số tiền phí bảo hiểm phải thanh toán cho PVI Digital</t>
        </is>
      </c>
      <c r="F34" s="38">
        <f>F29-(F30+F31+F32)</f>
        <v/>
      </c>
      <c r="G34" s="38" t="n"/>
      <c r="H34" s="88" t="inlineStr">
        <is>
          <t>Việt Nam đồng</t>
        </is>
      </c>
      <c r="I34" s="88" t="n"/>
      <c r="J34" s="88" t="n"/>
      <c r="L34" s="32" t="n"/>
      <c r="N34" s="32" t="n"/>
    </row>
    <row r="35">
      <c r="F35" s="32" t="n"/>
      <c r="H35" s="39" t="n"/>
      <c r="I35" s="92" t="n"/>
      <c r="J35" s="92" t="n"/>
    </row>
    <row r="36" customFormat="1" s="40">
      <c r="A36" s="88" t="inlineStr">
        <is>
          <t>Ngày      tháng 09 năm 2026</t>
        </is>
      </c>
      <c r="M36" s="125" t="n"/>
    </row>
    <row r="37" customFormat="1" s="40">
      <c r="A37" s="88" t="inlineStr">
        <is>
          <t>Người lập biểu</t>
        </is>
      </c>
      <c r="D37" s="40" t="inlineStr">
        <is>
          <t>Bảo hiểm PVI Digital</t>
        </is>
      </c>
      <c r="L37" s="40" t="inlineStr">
        <is>
          <t>Công ty TNHH Fuse Online</t>
        </is>
      </c>
      <c r="M37" s="125" t="n"/>
    </row>
    <row r="38" customFormat="1" s="40">
      <c r="M38" s="125" t="n"/>
    </row>
    <row r="44">
      <c r="A44" s="88" t="inlineStr">
        <is>
          <t>Nguyễn Ngọc Đan Thanh</t>
        </is>
      </c>
    </row>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c r="L144" s="9" t="n"/>
    </row>
  </sheetData>
  <mergeCells count="14">
    <mergeCell ref="C7:K7"/>
    <mergeCell ref="D19:D20"/>
    <mergeCell ref="F19:F20"/>
    <mergeCell ref="A37:B37"/>
    <mergeCell ref="A36:B36"/>
    <mergeCell ref="C19:C20"/>
    <mergeCell ref="A3:C3"/>
    <mergeCell ref="A21:C21"/>
    <mergeCell ref="A44:B44"/>
    <mergeCell ref="A4:C4"/>
    <mergeCell ref="C6:K6"/>
    <mergeCell ref="A19:A20"/>
    <mergeCell ref="A2:C2"/>
    <mergeCell ref="L19:L20"/>
  </mergeCells>
  <pageMargins left="0.5511811023622047" right="0.5905511811023622" top="0.3543307086614173" bottom="0.3543307086614173" header="0.3149606299212598" footer="0.3149606299212598"/>
  <pageSetup orientation="landscape" paperSize="9" scale="74"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Thanh, Nguyen Ngoc Dan (BH-Digital)</dc:creator>
  <dcterms:created xmlns:dcterms="http://purl.org/dc/terms/" xmlns:xsi="http://www.w3.org/2001/XMLSchema-instance" xsi:type="dcterms:W3CDTF">2026-09-03T04:08:38Z</dcterms:created>
  <dcterms:modified xmlns:dcterms="http://purl.org/dc/terms/" xmlns:xsi="http://www.w3.org/2001/XMLSchema-instance" xsi:type="dcterms:W3CDTF">2026-10-14T04:16:41Z</dcterms:modified>
  <cp:lastModifiedBy>Mai, Vu Thi Hoa (BH-Digital)</cp:lastModifiedBy>
  <cp:lastPrinted>2026-09-29T07:44:30Z</cp:lastPrinted>
</cp:coreProperties>
</file>