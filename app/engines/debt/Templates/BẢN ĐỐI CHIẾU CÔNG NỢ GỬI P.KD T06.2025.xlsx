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pvicomvn-my.sharepoint.com/personal/ngocnm_pvi_com_vn/Documents/OneDrive - Cong ty co phan PVI/Tài liệu/ngoc.nm/CÔNG NỢ KHÁCH HÀNG (131,33113,3318,0051)/2025/06.2025/"/>
    </mc:Choice>
  </mc:AlternateContent>
  <xr:revisionPtr revIDLastSave="779" documentId="8_{2F64858C-4479-4C30-B742-4933E745A4CC}" xr6:coauthVersionLast="47" xr6:coauthVersionMax="47" xr10:uidLastSave="{89EF7A6C-D8DB-43A4-9C72-3ADD54B3E4D3}"/>
  <bookViews>
    <workbookView xWindow="-120" yWindow="-120" windowWidth="29040" windowHeight="15720" xr2:uid="{F6D44AAA-20D2-4733-A205-B2F083011306}"/>
  </bookViews>
  <sheets>
    <sheet name="Bancass" sheetId="103" r:id="rId1"/>
    <sheet name="TBHH " sheetId="98" r:id="rId2"/>
    <sheet name="DTCN " sheetId="99" r:id="rId3"/>
    <sheet name="KHDN " sheetId="100" r:id="rId4"/>
    <sheet name="PTSP  " sheetId="102" r:id="rId5"/>
    <sheet name="PTKD " sheetId="101" r:id="rId6"/>
    <sheet name="VH " sheetId="97" r:id="rId7"/>
    <sheet name="sheet1" sheetId="29" r:id="rId8"/>
    <sheet name="Thông tin KH " sheetId="40" r:id="rId9"/>
  </sheets>
  <definedNames>
    <definedName name="_xlnm.Print_Area" localSheetId="0">Bancass!$A$1:$H$39</definedName>
    <definedName name="_xlnm.Print_Area" localSheetId="2">'DTCN '!$A$1:$H$42</definedName>
    <definedName name="_xlnm.Print_Area" localSheetId="3">'KHDN '!$A$1:$H$41</definedName>
    <definedName name="_xlnm.Print_Area" localSheetId="5">'PTKD '!$A$1:$H$39</definedName>
    <definedName name="_xlnm.Print_Area" localSheetId="4">'PTSP  '!$A$1:$H$39</definedName>
    <definedName name="_xlnm.Print_Area" localSheetId="1">'TBHH '!$A$1:$H$40</definedName>
    <definedName name="_xlnm.Print_Area" localSheetId="6">'VH '!$A$1:$H$39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03" l="1"/>
  <c r="E20" i="97"/>
  <c r="E23" i="97"/>
  <c r="H18" i="102" l="1"/>
  <c r="E19" i="102"/>
  <c r="H19" i="102" l="1"/>
  <c r="B2" i="29" l="1"/>
  <c r="M3" i="29" l="1"/>
  <c r="C3" i="29"/>
  <c r="F3" i="29"/>
  <c r="N3" i="29"/>
  <c r="D3" i="29"/>
  <c r="G3" i="29"/>
  <c r="H3" i="29"/>
  <c r="I3" i="29"/>
  <c r="L3" i="29"/>
  <c r="J3" i="29"/>
  <c r="K3" i="29"/>
  <c r="E3" i="29"/>
  <c r="K5" i="29" l="1"/>
  <c r="E5" i="29"/>
  <c r="D5" i="29"/>
  <c r="G5" i="29"/>
  <c r="F5" i="29"/>
  <c r="C5" i="29"/>
  <c r="C6" i="29" s="1"/>
  <c r="N5" i="29"/>
  <c r="M5" i="29"/>
  <c r="L5" i="29"/>
  <c r="J5" i="29"/>
  <c r="I5" i="29"/>
  <c r="H5" i="29"/>
  <c r="E6" i="29" l="1"/>
  <c r="D6" i="29"/>
  <c r="B7" i="29" s="1"/>
  <c r="F6" i="29"/>
  <c r="H6" i="29"/>
  <c r="G6" i="29"/>
  <c r="L6" i="29"/>
  <c r="M6" i="29"/>
  <c r="I6" i="29"/>
  <c r="N6" i="29"/>
  <c r="J6" i="29"/>
  <c r="K6" i="29"/>
  <c r="H20" i="102" l="1"/>
  <c r="H21" i="102" s="1"/>
  <c r="H22" i="102" s="1"/>
  <c r="E21" i="102"/>
  <c r="E22" i="102" s="1"/>
  <c r="H20" i="101" l="1"/>
  <c r="H18" i="97" l="1"/>
  <c r="H21" i="97" l="1"/>
  <c r="H20" i="97" l="1"/>
  <c r="H19" i="97"/>
  <c r="H22" i="97"/>
  <c r="H23" i="97" s="1"/>
  <c r="H24" i="97" s="1"/>
  <c r="E24" i="97"/>
  <c r="E22" i="101"/>
  <c r="H21" i="101"/>
  <c r="H22" i="101" s="1"/>
  <c r="H18" i="101"/>
  <c r="H19" i="101" s="1"/>
  <c r="H23" i="101" s="1"/>
  <c r="E19" i="101"/>
  <c r="E23" i="101" s="1"/>
  <c r="H19" i="100"/>
  <c r="H18" i="100"/>
  <c r="H20" i="100" s="1"/>
  <c r="E20" i="100"/>
  <c r="H21" i="100"/>
  <c r="H22" i="100"/>
  <c r="H23" i="100" s="1"/>
  <c r="H24" i="100" s="1"/>
  <c r="E23" i="100"/>
  <c r="E24" i="100" s="1"/>
  <c r="H21" i="99"/>
  <c r="H23" i="99"/>
  <c r="H22" i="99"/>
  <c r="E23" i="99"/>
  <c r="H19" i="99"/>
  <c r="H20" i="99" s="1"/>
  <c r="H24" i="99" s="1"/>
  <c r="E20" i="99"/>
  <c r="E24" i="99" s="1"/>
  <c r="H22" i="98"/>
  <c r="H21" i="98"/>
  <c r="H23" i="98" s="1"/>
  <c r="E23" i="98"/>
  <c r="H20" i="98"/>
  <c r="H24" i="98" s="1"/>
  <c r="H19" i="98"/>
  <c r="E20" i="98"/>
  <c r="E24" i="98" s="1"/>
  <c r="H20" i="103"/>
  <c r="H19" i="103"/>
  <c r="E20" i="103"/>
  <c r="H21" i="103"/>
  <c r="H22" i="103" s="1"/>
  <c r="H23" i="103" s="1"/>
  <c r="E22" i="103"/>
</calcChain>
</file>

<file path=xl/sharedStrings.xml><?xml version="1.0" encoding="utf-8"?>
<sst xmlns="http://schemas.openxmlformats.org/spreadsheetml/2006/main" count="401" uniqueCount="155">
  <si>
    <t>STT</t>
  </si>
  <si>
    <t>TÊN CTY</t>
  </si>
  <si>
    <t>ĐỊA CHỈ</t>
  </si>
  <si>
    <t>SDT người nhận</t>
  </si>
  <si>
    <t>Người nhận thư</t>
  </si>
  <si>
    <t>CÔNG TY CỔ PHẦN DI CHUYỂN XANH VÀ THÔNG MINH GSM</t>
  </si>
  <si>
    <t>Tòa Văn phòng Symphony, đường Chu Huy Mân, khu đô thị Vinhomes Riverside, Phường Phúc Lợi, Quận Long Biên, Thành phố Hà Nội, Việt Nam</t>
  </si>
  <si>
    <t>024 - 39756699</t>
  </si>
  <si>
    <t>Thế giới di động</t>
  </si>
  <si>
    <t>Lầu 03 - Tòa nhà MWG, Lô T2-1.2, Đường D1, Khu Công Nghệ Cao, P.Tân Phú, TP.Thủ Đức, TP HCM</t>
  </si>
  <si>
    <t>0333 884 978</t>
  </si>
  <si>
    <t>Nguyễn Thị Thanh Thùy_Phòng Kế Toán</t>
  </si>
  <si>
    <t>PasarPolis Vietnam - shopee và PP</t>
  </si>
  <si>
    <t>Town Central, 11 Doan Van Bo, District 4, HCMC</t>
  </si>
  <si>
    <t>84)366594049</t>
  </si>
  <si>
    <t>Giang Hoang | Accounting Supervisor</t>
  </si>
  <si>
    <t>Ideal Life</t>
  </si>
  <si>
    <t>21st Floor, E.town Central, 11 Doan Van Bo St., Ward 13, Dist. 4, HCMC.</t>
  </si>
  <si>
    <t>0907 052 671</t>
  </si>
  <si>
    <t>Tran Thi Thanh Tuyen (Ms.) Accounting Specialist Department</t>
  </si>
  <si>
    <t>CÔNG TY CỔ PHẦN REAL STAKE FINTECH</t>
  </si>
  <si>
    <t>Robot Tower, 308 – 308C Điện Biên Phủ, Phường 04, Quận 3, TP. Hồ Chí Minh</t>
  </si>
  <si>
    <t>CÔNG TY CỔ PHẦN FINNOVATE</t>
  </si>
  <si>
    <t>Số 34 Nguyễn Khánh Toàn, Phường Quan Hoa, Quận Cầu Giấy, Thành phố Hà Nội, Việt Nam</t>
  </si>
  <si>
    <t>Hoàng Minh Lan</t>
  </si>
  <si>
    <t>CÔNG TY CỔ PHẦN ĐẦU TƯ QV VÀ CỘNG SỰ</t>
  </si>
  <si>
    <t>FUSE ONLINE</t>
  </si>
  <si>
    <t>Tầng 22 Tòa nhà TNR 180 192 nguyễn công trứ, P.Nguyễn Thái Bình, Q.1, TP.Hồ Chí Minh</t>
  </si>
  <si>
    <t>Chị Loan</t>
  </si>
  <si>
    <t>MOMO</t>
  </si>
  <si>
    <t>tầng 6 tòa nhà phú mỹ hưng 08 Đường Hoàng Văn Thái, P.Tân Phú, Q.7, TP.Hồ Chí Minh</t>
  </si>
  <si>
    <t>Chị Phụng</t>
  </si>
  <si>
    <t>CHI NHÁNH CÔNG TY CALOFIC TẠI HIỆP PHƯỚC</t>
  </si>
  <si>
    <t>CHI NHÁNH CÔNG TY CALOFIC TẠI HIỆP PHƯỚC số 235 Đ Nguyễn Văn Cừ, P.Nguyễn Cư Trinh, Q.1, TP.Hồ Chí Minh</t>
  </si>
  <si>
    <t>Ms. Trang</t>
  </si>
  <si>
    <t>NAM DƯƠNG</t>
  </si>
  <si>
    <t>Tầng 12 Royal Central 235 Nguyễn Văn Cừ, P.Nguyễn Cư Trinh, Q.1, TP.Hồ Chí Minh</t>
  </si>
  <si>
    <t>Ms. Nhung</t>
  </si>
  <si>
    <t>Công ty TNHH Meizan CLV</t>
  </si>
  <si>
    <t>Tầng 9 Royal Central 235 Nguyễn Văn Cừ, P.Nguyễn Cư Trinh, Q.1, TP.Hồ Chí Minh</t>
  </si>
  <si>
    <t>Ms Hà</t>
  </si>
  <si>
    <t>Thanh toán số</t>
  </si>
  <si>
    <t>2nd Floor, Athena building, 146-148 Cong Hoa St., Ward 12, Tan Binh, HCMC, Vietnam</t>
  </si>
  <si>
    <t>Đặng Xuân Trúc</t>
  </si>
  <si>
    <t>SSamsung HCMC</t>
  </si>
  <si>
    <t>MARSH</t>
  </si>
  <si>
    <t>INDUSTRIAL LONG THÀNH</t>
  </si>
  <si>
    <t>tầng 6 tòa nhà sông đà 14b</t>
  </si>
  <si>
    <t>Mr Phát - INDUSTRIAL LONG THÀNH</t>
  </si>
  <si>
    <t>Chung cư Giai Việt Khối nhà A2-B1</t>
  </si>
  <si>
    <t>giai việt a2 - b1 856</t>
  </si>
  <si>
    <t>Thu Hà - Chung cư Giai Việt Khối nhà A2-B1</t>
  </si>
  <si>
    <t>Công ty TNHH Samju Vina</t>
  </si>
  <si>
    <t>Lô CN3-3 Khu công nghiệp Điềm Thụy XÓM Điềm Thuỵ, X.Điềm Thuỵ, H.Phú Bình, T.Thái Nguyên</t>
  </si>
  <si>
    <t>Mr. Đàm Thái Hoàng - Công ty TNHH Samju Vina</t>
  </si>
  <si>
    <t>CÔNG TY TNHH XAY LÚA MÌ VIỆT NAM</t>
  </si>
  <si>
    <t>Khu công nghiệp Mỹ Xuân A P Mỹ Xuân TX Phú Mỹ T, P.Mỹ Xuân, TX.Phú Mỹ, T.Bà Rịa - Vũng Tàu</t>
  </si>
  <si>
    <t>Ms. Hồng - CÔNG TY TNHH XAY LÚA MÌ VIỆT NAM</t>
  </si>
  <si>
    <t>WILMAR AGRO VN</t>
  </si>
  <si>
    <t>CÔNG TY TNHH WILMAR AGRO VIỆT NAM Khu công Nghiệp Hưng Phú 1</t>
  </si>
  <si>
    <t>Ms Ngọc - WILMAR AGRO VN</t>
  </si>
  <si>
    <t>WILMAR AGRO VN TẠI THỐT NỐT</t>
  </si>
  <si>
    <t>Mr Trường</t>
  </si>
  <si>
    <t>Công ty TNHH Shopee</t>
  </si>
  <si>
    <t>CÔNG TY TNHH THỰC PHẨM QUỐC TẾ NAM DƯƠNG</t>
  </si>
  <si>
    <t>CÔNG TY TNHH WILMAR AGRO VIỆT NAM</t>
  </si>
  <si>
    <t>Hàm chuyển số thành chữ</t>
  </si>
  <si>
    <t>&lt;---</t>
  </si>
  <si>
    <t>Nhập số vào đây</t>
  </si>
  <si>
    <t>Tách từng vị trí</t>
  </si>
  <si>
    <t>Chọn đơn vị</t>
  </si>
  <si>
    <t>linh</t>
  </si>
  <si>
    <t>tỷ</t>
  </si>
  <si>
    <t>triệu</t>
  </si>
  <si>
    <t>ngàn</t>
  </si>
  <si>
    <t>lẻ</t>
  </si>
  <si>
    <t>đồng</t>
  </si>
  <si>
    <t>Đọc ra chữ</t>
  </si>
  <si>
    <t>Viết hoa chữ cái đầu trong chuỗi</t>
  </si>
  <si>
    <t>Kết quả:</t>
  </si>
  <si>
    <t xml:space="preserve"> </t>
  </si>
  <si>
    <t>CỘNG HOÀ XÃ HỘI CHỦ NGHĨA VIỆT NAM</t>
  </si>
  <si>
    <t>Độc lập - Tự do - Hạnh phúc</t>
  </si>
  <si>
    <t>Đại diện:</t>
  </si>
  <si>
    <t>Ông:</t>
  </si>
  <si>
    <t>Phạm Hùng Sơn</t>
  </si>
  <si>
    <t>Số Hợp đồng/ GCN bảo hiểm</t>
  </si>
  <si>
    <t>Tổng tiền trên hóa đơn</t>
  </si>
  <si>
    <t>Ngày</t>
  </si>
  <si>
    <t>Số tiền</t>
  </si>
  <si>
    <t xml:space="preserve">                              Tổng cộng</t>
  </si>
  <si>
    <t>Bằng chữ</t>
  </si>
  <si>
    <t>Đơn vị tính: đồng</t>
  </si>
  <si>
    <t>Ngày …. tháng …. năm 2025</t>
  </si>
  <si>
    <t>Đỗ Minh Tâm</t>
  </si>
  <si>
    <t>Võ Hoàng Trung</t>
  </si>
  <si>
    <t>Phòng Phát triển kinh doanh</t>
  </si>
  <si>
    <t>Phòng Đối tác và Công nghệ</t>
  </si>
  <si>
    <t>Nguyễn Trung Thanh Thảo</t>
  </si>
  <si>
    <t>Phòng Vận hành</t>
  </si>
  <si>
    <t>Phòng Khách hàng doanh nghiệp</t>
  </si>
  <si>
    <t>Phạm Quang Thắng</t>
  </si>
  <si>
    <t>Phòng Bảo hiểm thiết bị và hỗn hợp</t>
  </si>
  <si>
    <t>Chức vụ: Trưởng phòng Bảo hiểm thiết bị và hỗn hợp</t>
  </si>
  <si>
    <t>Chức vụ: Trưởng phòng Đối tác và Công nghệ</t>
  </si>
  <si>
    <t>Chức vụ: Trưởng phòng Khách hàng doanh nghiệp</t>
  </si>
  <si>
    <t>BẢN ĐỐI CHIẾU CÔNG NỢ NỘI BỘ ( TK 13111-0051)</t>
  </si>
  <si>
    <t>Tài khoản</t>
  </si>
  <si>
    <t>Số tiền còn phải  thanh toán</t>
  </si>
  <si>
    <t>Số tiền đã thanh toán</t>
  </si>
  <si>
    <t>0051</t>
  </si>
  <si>
    <t>Các đơn BH cấp năm 2024
(chi tiết theo bảng kê đính kèm)</t>
  </si>
  <si>
    <t xml:space="preserve">                            TỔNG CỘNG</t>
  </si>
  <si>
    <t>……………………………………………………………………………………………………………………………………………………………………………………………............................................................</t>
  </si>
  <si>
    <t>…………………………………………………………………………………………………………………………………………………………………………………………….................................................</t>
  </si>
  <si>
    <t>Các đơn BH cấp năm 2024</t>
  </si>
  <si>
    <t>Phòng Phát triển sản phẩm và nghiên cứu thị trường</t>
  </si>
  <si>
    <t>Chức vụ: Trưởng phòng Phát triển sản phẩm và nghiên cứu thị trường</t>
  </si>
  <si>
    <t>Nguyễn Thị Thanh Mai</t>
  </si>
  <si>
    <t>Các đơn BH cấp tháng 03/2025
(chi tiết theo bảng kê đính kèm)</t>
  </si>
  <si>
    <t>Hóa đơn theo bảng kê đính kèm tháng 03/2025</t>
  </si>
  <si>
    <t>Ba trăm bốn mươi tám triệu một trăm bảy mươi sáu nghìn tám trăm hai mươi sáu đồng</t>
  </si>
  <si>
    <t>Phòng Bancassurance và bảo hiểm trực tuyến</t>
  </si>
  <si>
    <t>Ngô Thị Phương Chi</t>
  </si>
  <si>
    <t>Hóa đơn theo bảng kê đính kèm năm 2025</t>
  </si>
  <si>
    <t>Các đơn BH cấp năm 2025</t>
  </si>
  <si>
    <t>Các đơn BH cấp năm 2025
(chi tiết theo bảng kê đính kèm)</t>
  </si>
  <si>
    <t>ĐẠI DIỆN P.KHDN</t>
  </si>
  <si>
    <t>Bà:</t>
  </si>
  <si>
    <t>Chức vụ: PPT Phòng Bancassurance và bảo hiểm trực tuyến</t>
  </si>
  <si>
    <r>
      <t xml:space="preserve">Số hóa đơn GTGT
</t>
    </r>
    <r>
      <rPr>
        <i/>
        <sz val="20"/>
        <rFont val="Times New Roman"/>
        <family val="1"/>
      </rPr>
      <t xml:space="preserve"> (ghi rõ số và ngày)</t>
    </r>
  </si>
  <si>
    <t>Ông</t>
  </si>
  <si>
    <t>ĐẠI DIỆN P.Bancass</t>
  </si>
  <si>
    <t>ĐẠI DIỆN P.TBHH</t>
  </si>
  <si>
    <t>ĐẠI DIỆN P.DTCN</t>
  </si>
  <si>
    <t>ĐẠI DIỆN P.PTKD</t>
  </si>
  <si>
    <t>Chức vụ: PPT phòng Phát triển kinh doanh</t>
  </si>
  <si>
    <t>ĐẠI DIỆN P.PTSP</t>
  </si>
  <si>
    <t>ĐẠI DIỆN P.VH</t>
  </si>
  <si>
    <t xml:space="preserve">Hóa đơn theo bảng kê đính kèm </t>
  </si>
  <si>
    <t>Ngô Thị Quỳnh Trang</t>
  </si>
  <si>
    <t>Các đơn BH cấp tháng 06/2025
(chi tiết theo bảng kê đính kèm)</t>
  </si>
  <si>
    <t>Chức vụ: Trưởng phòng Kế toán</t>
  </si>
  <si>
    <t>Vui lòng xác nhận, ký tên và gửi lại P.Kế toán. Nếu số liệu trên là sai, xin phản hồi lại thông tin qua địa chỉ mail: ngocnm@pvi.com.vn.</t>
  </si>
  <si>
    <t>Phòng Kế toán</t>
  </si>
  <si>
    <t>Chức vụ: PPT phòng Vận hành</t>
  </si>
  <si>
    <t>Để phục vụ cho công tác đối chiếu công nợ tháng 06/2025, kính đề nghị Quý phòng kiểm tra, xác nhận công nợ phí bảo hiểm với Phòng Kế toán tại ngày 30/06/2025 như sau:</t>
  </si>
  <si>
    <t>Bản đối chiếu công nợ này không phải là một đề nghị thanh toán nên Quý phòng vui lòng vẫn xác nhận cho chúng tôi nếu phí bảo hiểm đã thanh toán sau ngày 30/06/2025</t>
  </si>
  <si>
    <t>ĐẠI DIỆN P.KT</t>
  </si>
  <si>
    <t>Bốn mươi sáu tỷ bảy trăm bốn mươi chín triệu hai trăm bảy mươi bốn ngàn tám trăm sáu mươi chín đồng./.</t>
  </si>
  <si>
    <t>Ba tỷ hai trăm hai mươi hai triệu bảy trăm hai mươi tám ngàn một trăm mười đồng./.</t>
  </si>
  <si>
    <t>Năm mươi tỷ tám trăm bốn mươi hai triệu tám trăm hai mươi ngàn năm trăm hai mươi ba đồng./.</t>
  </si>
  <si>
    <t>Hai mươi tỷ sáu trăm bảy mươi sáu triệu bốn trăm bảy mươi sáu ngàn sáu trăm ba mươi lăm đồng./.</t>
  </si>
  <si>
    <t>Bốn mươi tỷ một trăm bốn mươi bảy triệu sáu trăm bốn mươi tám ngàn năm trăm năm mươi chín đồng./.</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</si>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</sst>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8"/>
      <name val="Calibri"/>
      <family val="2"/>
      <scheme val="minor"/>
    </font>
    <font>
      <b/>
      <sz val="13"/>
      <color rgb="FF44546A"/>
      <name val="Times New Roman"/>
      <family val="1"/>
    </font>
    <font>
      <b/>
      <sz val="13"/>
      <color rgb="FFFFFFFF"/>
      <name val="Times New Roman"/>
      <family val="1"/>
    </font>
    <font>
      <i/>
      <sz val="13"/>
      <color rgb="FFFFFFFF"/>
      <name val="Times New Roman"/>
      <family val="1"/>
    </font>
    <font>
      <sz val="13"/>
      <color theme="1"/>
      <name val="Times New Roman"/>
      <family val="1"/>
    </font>
    <font>
      <b/>
      <sz val="13"/>
      <color rgb="FF3F3F76"/>
      <name val="Times New Roman"/>
      <family val="1"/>
    </font>
    <font>
      <sz val="13"/>
      <color rgb="FFFF0000"/>
      <name val="Times New Roman"/>
      <family val="1"/>
    </font>
    <font>
      <sz val="13"/>
      <color theme="1"/>
      <name val="Calibri"/>
      <family val="2"/>
      <scheme val="minor"/>
    </font>
    <font>
      <sz val="13"/>
      <color rgb="FF777777"/>
      <name val="Arial"/>
      <family val="2"/>
    </font>
    <font>
      <b/>
      <sz val="13"/>
      <color theme="1"/>
      <name val="Times New Roman"/>
      <family val="1"/>
    </font>
    <font>
      <sz val="13"/>
      <color theme="1"/>
      <name val="Arial"/>
      <family val="2"/>
    </font>
    <font>
      <sz val="13"/>
      <color rgb="FFFFFFFF"/>
      <name val="Times New Roman"/>
      <family val="1"/>
    </font>
    <font>
      <sz val="11"/>
      <color theme="1"/>
      <name val="Calibri"/>
      <family val="2"/>
    </font>
    <font>
      <sz val="10"/>
      <color theme="1"/>
      <name val="Arial"/>
      <family val="2"/>
    </font>
    <font>
      <sz val="12"/>
      <color rgb="FF081C36"/>
      <name val="Segoe UI"/>
      <family val="2"/>
    </font>
    <font>
      <sz val="12"/>
      <color rgb="FF081C36"/>
      <name val="Arial"/>
      <family val="2"/>
    </font>
    <font>
      <sz val="20"/>
      <name val="Times New Roman"/>
      <family val="1"/>
    </font>
    <font>
      <b/>
      <sz val="20"/>
      <name val="Times New Roman"/>
      <family val="1"/>
    </font>
    <font>
      <sz val="20"/>
      <name val="Calibri"/>
      <family val="2"/>
      <scheme val="minor"/>
    </font>
    <font>
      <i/>
      <sz val="20"/>
      <name val="Times New Roman"/>
      <family val="1"/>
    </font>
  </fonts>
  <fills count="14">
    <fill>
      <patternFill patternType="none"/>
    </fill>
    <fill>
      <patternFill patternType="gray125"/>
    </fill>
    <fill>
      <patternFill patternType="solid">
        <fgColor rgb="FFFFCC99"/>
        <bgColor indexed="64"/>
      </patternFill>
    </fill>
    <fill>
      <patternFill patternType="solid">
        <fgColor rgb="FFECECEC"/>
        <bgColor indexed="64"/>
      </patternFill>
    </fill>
    <fill>
      <patternFill patternType="solid">
        <fgColor rgb="FFFEF2CB"/>
        <bgColor indexed="64"/>
      </patternFill>
    </fill>
    <fill>
      <patternFill patternType="solid">
        <fgColor rgb="FFDEEAF6"/>
        <bgColor indexed="64"/>
      </patternFill>
    </fill>
    <fill>
      <patternFill patternType="solid">
        <fgColor rgb="FFE2EFD9"/>
        <bgColor indexed="64"/>
      </patternFill>
    </fill>
    <fill>
      <patternFill patternType="solid">
        <fgColor rgb="FFBDD6EE"/>
        <bgColor indexed="64"/>
      </patternFill>
    </fill>
    <fill>
      <patternFill patternType="solid">
        <fgColor rgb="FFFFFFCC"/>
        <bgColor indexed="64"/>
      </patternFill>
    </fill>
    <fill>
      <patternFill patternType="solid">
        <fgColor rgb="FF9CC2E5"/>
        <bgColor indexed="64"/>
      </patternFill>
    </fill>
    <fill>
      <patternFill patternType="solid">
        <fgColor rgb="FF2E75B5"/>
        <bgColor indexed="64"/>
      </patternFill>
    </fill>
    <fill>
      <patternFill patternType="solid">
        <fgColor rgb="FF1E4E79"/>
        <bgColor indexed="64"/>
      </patternFill>
    </fill>
    <fill>
      <patternFill patternType="solid">
        <fgColor rgb="FFFFFFFF"/>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ck">
        <color rgb="FFA1B8E1"/>
      </bottom>
      <diagonal/>
    </border>
    <border>
      <left/>
      <right style="medium">
        <color rgb="FF7F7F7F"/>
      </right>
      <top/>
      <bottom style="thick">
        <color rgb="FFA1B8E1"/>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style="medium">
        <color rgb="FFA1B8E1"/>
      </left>
      <right/>
      <top/>
      <bottom/>
      <diagonal/>
    </border>
    <border>
      <left/>
      <right style="medium">
        <color rgb="FFA1B8E1"/>
      </right>
      <top/>
      <bottom/>
      <diagonal/>
    </border>
    <border>
      <left/>
      <right style="medium">
        <color rgb="FFB2B2B2"/>
      </right>
      <top/>
      <bottom/>
      <diagonal/>
    </border>
    <border>
      <left/>
      <right style="medium">
        <color rgb="FFB2B2B2"/>
      </right>
      <top/>
      <bottom style="medium">
        <color rgb="FF7F7F7F"/>
      </bottom>
      <diagonal/>
    </border>
    <border>
      <left/>
      <right style="medium">
        <color rgb="FF7F7F7F"/>
      </right>
      <top/>
      <bottom/>
      <diagonal/>
    </border>
    <border>
      <left style="medium">
        <color rgb="FFA1B8E1"/>
      </left>
      <right/>
      <top/>
      <bottom style="medium">
        <color rgb="FF2E75B5"/>
      </bottom>
      <diagonal/>
    </border>
    <border>
      <left/>
      <right style="medium">
        <color rgb="FF7F7F7F"/>
      </right>
      <top/>
      <bottom style="medium">
        <color rgb="FF2E75B5"/>
      </bottom>
      <diagonal/>
    </border>
    <border>
      <left/>
      <right/>
      <top/>
      <bottom style="medium">
        <color rgb="FF2E75B5"/>
      </bottom>
      <diagonal/>
    </border>
    <border>
      <left style="medium">
        <color rgb="FF2E75B5"/>
      </left>
      <right/>
      <top/>
      <bottom style="medium">
        <color rgb="FF2E75B5"/>
      </bottom>
      <diagonal/>
    </border>
    <border>
      <left/>
      <right style="medium">
        <color rgb="FF2E75B5"/>
      </right>
      <top/>
      <bottom style="medium">
        <color rgb="FF2E75B5"/>
      </bottom>
      <diagonal/>
    </border>
    <border>
      <left style="medium">
        <color rgb="FF7F7F7F"/>
      </left>
      <right/>
      <top style="medium">
        <color rgb="FF7F7F7F"/>
      </top>
      <bottom style="medium">
        <color rgb="FF7F7F7F"/>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43" fontId="1" fillId="0" borderId="0" applyFont="0" applyFill="0" applyBorder="0" applyAlignment="0" applyProtection="0"/>
  </cellStyleXfs>
  <cellXfs count="105">
    <xf numFmtId="0" fontId="0" fillId="0" borderId="0" xfId="0"/>
    <xf numFmtId="0" fontId="3" fillId="0" borderId="5" xfId="0" applyFont="1" applyBorder="1" applyAlignment="1">
      <alignment vertical="center"/>
    </xf>
    <xf numFmtId="0" fontId="4" fillId="11" borderId="17" xfId="0" applyFont="1" applyFill="1" applyBorder="1" applyAlignment="1">
      <alignment horizontal="right" vertical="center" wrapText="1"/>
    </xf>
    <xf numFmtId="0" fontId="5" fillId="11" borderId="16" xfId="0" applyFont="1" applyFill="1" applyBorder="1" applyAlignment="1">
      <alignment vertical="center"/>
    </xf>
    <xf numFmtId="0" fontId="6" fillId="0" borderId="6" xfId="0" applyFont="1" applyBorder="1" applyAlignment="1">
      <alignment wrapText="1"/>
    </xf>
    <xf numFmtId="0" fontId="8" fillId="0" borderId="5" xfId="0" applyFont="1" applyBorder="1" applyAlignment="1">
      <alignment wrapText="1"/>
    </xf>
    <xf numFmtId="0" fontId="6" fillId="0" borderId="5" xfId="0" applyFont="1" applyBorder="1" applyAlignment="1">
      <alignment wrapText="1"/>
    </xf>
    <xf numFmtId="0" fontId="9" fillId="0" borderId="0" xfId="0" applyFont="1"/>
    <xf numFmtId="0" fontId="6" fillId="0" borderId="9" xfId="0" applyFont="1" applyBorder="1" applyAlignment="1">
      <alignment vertical="center" wrapText="1"/>
    </xf>
    <xf numFmtId="0" fontId="10" fillId="0" borderId="0" xfId="0" applyFont="1"/>
    <xf numFmtId="0" fontId="11" fillId="3" borderId="0" xfId="0" applyFont="1" applyFill="1" applyAlignment="1">
      <alignment horizontal="center" vertical="center"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1" fillId="6" borderId="0" xfId="0" applyFont="1" applyFill="1" applyAlignment="1">
      <alignment horizontal="center" vertical="center" wrapText="1"/>
    </xf>
    <xf numFmtId="0" fontId="11" fillId="6" borderId="10" xfId="0" applyFont="1" applyFill="1" applyBorder="1" applyAlignment="1">
      <alignment horizontal="center" vertical="center" wrapText="1"/>
    </xf>
    <xf numFmtId="0" fontId="6" fillId="5" borderId="9" xfId="0" applyFont="1" applyFill="1" applyBorder="1" applyAlignment="1">
      <alignment vertical="center" wrapText="1"/>
    </xf>
    <xf numFmtId="0" fontId="6" fillId="5" borderId="0" xfId="0" applyFont="1" applyFill="1" applyAlignment="1">
      <alignment vertical="center" wrapText="1"/>
    </xf>
    <xf numFmtId="0" fontId="6" fillId="7" borderId="9" xfId="0" applyFont="1" applyFill="1" applyBorder="1" applyAlignment="1">
      <alignment vertical="center" wrapText="1"/>
    </xf>
    <xf numFmtId="0" fontId="6" fillId="7" borderId="11" xfId="0" applyFont="1" applyFill="1" applyBorder="1" applyAlignment="1">
      <alignment vertical="center" wrapText="1"/>
    </xf>
    <xf numFmtId="0" fontId="6" fillId="8" borderId="12" xfId="0" applyFont="1" applyFill="1" applyBorder="1" applyAlignment="1">
      <alignment vertical="center" wrapText="1"/>
    </xf>
    <xf numFmtId="0" fontId="6" fillId="8" borderId="12" xfId="0" applyFont="1" applyFill="1" applyBorder="1" applyAlignment="1">
      <alignment horizontal="center" vertical="center" wrapText="1"/>
    </xf>
    <xf numFmtId="0" fontId="6" fillId="9" borderId="9" xfId="0" applyFont="1" applyFill="1" applyBorder="1" applyAlignment="1">
      <alignment vertical="center" wrapText="1"/>
    </xf>
    <xf numFmtId="0" fontId="6" fillId="9" borderId="13" xfId="0" applyFont="1" applyFill="1" applyBorder="1" applyAlignment="1">
      <alignment vertical="center" wrapText="1"/>
    </xf>
    <xf numFmtId="0" fontId="12" fillId="0" borderId="0" xfId="0" applyFont="1"/>
    <xf numFmtId="0" fontId="12" fillId="0" borderId="0" xfId="0" applyFont="1" applyAlignment="1">
      <alignment wrapText="1"/>
    </xf>
    <xf numFmtId="0" fontId="13" fillId="10" borderId="14" xfId="0" applyFont="1" applyFill="1" applyBorder="1" applyAlignment="1">
      <alignment vertical="center"/>
    </xf>
    <xf numFmtId="0" fontId="6" fillId="10" borderId="15" xfId="0" applyFont="1" applyFill="1" applyBorder="1" applyAlignment="1">
      <alignment wrapText="1"/>
    </xf>
    <xf numFmtId="0" fontId="6" fillId="11" borderId="16" xfId="0" applyFont="1" applyFill="1" applyBorder="1" applyAlignment="1">
      <alignment vertical="center" wrapText="1"/>
    </xf>
    <xf numFmtId="0" fontId="6" fillId="11" borderId="18" xfId="0" applyFont="1" applyFill="1" applyBorder="1" applyAlignment="1">
      <alignment vertical="center" wrapText="1"/>
    </xf>
    <xf numFmtId="0" fontId="6" fillId="0" borderId="0" xfId="0" applyFont="1" applyAlignment="1">
      <alignment wrapText="1"/>
    </xf>
    <xf numFmtId="0" fontId="0" fillId="0" borderId="1" xfId="0" applyBorder="1"/>
    <xf numFmtId="0" fontId="15" fillId="0" borderId="20" xfId="0" applyFont="1" applyBorder="1" applyAlignment="1">
      <alignment wrapText="1"/>
    </xf>
    <xf numFmtId="0" fontId="14" fillId="0" borderId="20" xfId="0" applyFont="1" applyBorder="1" applyAlignment="1">
      <alignment wrapText="1"/>
    </xf>
    <xf numFmtId="0" fontId="16" fillId="12" borderId="20" xfId="0" applyFont="1" applyFill="1" applyBorder="1" applyAlignment="1">
      <alignment wrapText="1"/>
    </xf>
    <xf numFmtId="0" fontId="17" fillId="12" borderId="20" xfId="0" applyFont="1" applyFill="1" applyBorder="1" applyAlignment="1">
      <alignment wrapText="1"/>
    </xf>
    <xf numFmtId="0" fontId="15" fillId="0" borderId="20" xfId="0" applyFont="1" applyBorder="1" applyAlignment="1">
      <alignment horizontal="right" wrapText="1"/>
    </xf>
    <xf numFmtId="0" fontId="15" fillId="12" borderId="20" xfId="0" applyFont="1" applyFill="1" applyBorder="1" applyAlignment="1">
      <alignment wrapText="1"/>
    </xf>
    <xf numFmtId="0" fontId="15" fillId="13" borderId="20" xfId="0" applyFont="1" applyFill="1" applyBorder="1" applyAlignment="1">
      <alignment wrapText="1"/>
    </xf>
    <xf numFmtId="0" fontId="15" fillId="13" borderId="20" xfId="0" applyFont="1" applyFill="1" applyBorder="1" applyAlignment="1">
      <alignment horizontal="center" wrapText="1"/>
    </xf>
    <xf numFmtId="0" fontId="15" fillId="0" borderId="20" xfId="0" applyFont="1" applyBorder="1" applyAlignment="1">
      <alignment horizontal="center" wrapText="1"/>
    </xf>
    <xf numFmtId="0" fontId="18" fillId="0" borderId="0" xfId="0" applyFont="1" applyAlignment="1">
      <alignment horizontal="center" vertical="center"/>
    </xf>
    <xf numFmtId="0" fontId="18" fillId="0" borderId="0" xfId="0" applyFont="1" applyAlignment="1">
      <alignment vertical="top"/>
    </xf>
    <xf numFmtId="0" fontId="18" fillId="0" borderId="0" xfId="0" applyFont="1" applyAlignment="1">
      <alignment horizontal="left" vertical="top"/>
    </xf>
    <xf numFmtId="0" fontId="19" fillId="0" borderId="0" xfId="0" applyFont="1" applyAlignment="1">
      <alignment vertical="top"/>
    </xf>
    <xf numFmtId="0" fontId="19" fillId="0" borderId="0" xfId="0" applyFont="1" applyAlignment="1">
      <alignment vertical="center"/>
    </xf>
    <xf numFmtId="0" fontId="18" fillId="0" borderId="0" xfId="0" applyFont="1" applyAlignment="1">
      <alignment horizontal="left" vertical="center" wrapText="1"/>
    </xf>
    <xf numFmtId="0" fontId="18" fillId="0" borderId="0" xfId="0" applyFont="1" applyAlignment="1">
      <alignment horizontal="right" vertical="center" wrapText="1"/>
    </xf>
    <xf numFmtId="49" fontId="19" fillId="0" borderId="0" xfId="0" applyNumberFormat="1" applyFont="1" applyAlignment="1">
      <alignment vertical="center"/>
    </xf>
    <xf numFmtId="0" fontId="20" fillId="0" borderId="0" xfId="0" applyFont="1" applyAlignment="1">
      <alignment vertical="top"/>
    </xf>
    <xf numFmtId="0" fontId="18" fillId="0" borderId="0" xfId="0" applyFont="1" applyAlignment="1">
      <alignment vertical="center" wrapText="1"/>
    </xf>
    <xf numFmtId="0" fontId="18" fillId="0" borderId="0" xfId="0" applyFont="1" applyAlignment="1">
      <alignment horizontal="justify" vertical="top"/>
    </xf>
    <xf numFmtId="49" fontId="18" fillId="0" borderId="0" xfId="0" applyNumberFormat="1" applyFont="1" applyAlignment="1">
      <alignment vertical="center"/>
    </xf>
    <xf numFmtId="0" fontId="18" fillId="0" borderId="0" xfId="0" applyFont="1" applyAlignment="1">
      <alignment vertical="center"/>
    </xf>
    <xf numFmtId="0" fontId="21" fillId="0" borderId="0" xfId="0" applyFont="1" applyAlignment="1">
      <alignment horizontal="right" vertical="top"/>
    </xf>
    <xf numFmtId="0" fontId="19" fillId="0" borderId="1" xfId="0" applyFont="1" applyBorder="1" applyAlignment="1">
      <alignment horizontal="center" vertical="center" wrapText="1"/>
    </xf>
    <xf numFmtId="0" fontId="18" fillId="0" borderId="1" xfId="0" applyFont="1" applyBorder="1" applyAlignment="1">
      <alignment vertical="center"/>
    </xf>
    <xf numFmtId="0" fontId="18" fillId="0" borderId="1" xfId="0" applyFont="1" applyBorder="1" applyAlignment="1">
      <alignment horizontal="center" vertical="center" wrapText="1"/>
    </xf>
    <xf numFmtId="0" fontId="19" fillId="0" borderId="1" xfId="0" applyFont="1" applyBorder="1" applyAlignment="1">
      <alignment horizontal="left" vertical="center" wrapText="1"/>
    </xf>
    <xf numFmtId="0" fontId="21" fillId="0" borderId="4" xfId="0" applyFont="1" applyBorder="1" applyAlignment="1">
      <alignment horizontal="center" vertical="center"/>
    </xf>
    <xf numFmtId="49" fontId="18" fillId="0" borderId="1" xfId="0" applyNumberFormat="1" applyFont="1" applyBorder="1" applyAlignment="1">
      <alignment vertical="center" wrapText="1"/>
    </xf>
    <xf numFmtId="0" fontId="18" fillId="0" borderId="1" xfId="0" quotePrefix="1" applyFont="1" applyBorder="1" applyAlignment="1">
      <alignment vertical="center" wrapText="1"/>
    </xf>
    <xf numFmtId="164" fontId="18" fillId="0" borderId="0" xfId="1" applyNumberFormat="1" applyFont="1" applyAlignment="1">
      <alignment vertical="top"/>
    </xf>
    <xf numFmtId="164" fontId="18" fillId="0" borderId="1" xfId="0" applyNumberFormat="1" applyFont="1" applyBorder="1" applyAlignment="1">
      <alignment horizontal="left" vertical="center" wrapText="1"/>
    </xf>
    <xf numFmtId="3" fontId="19" fillId="0" borderId="1" xfId="0" applyNumberFormat="1" applyFont="1" applyBorder="1" applyAlignment="1">
      <alignment horizontal="right" vertical="center" wrapText="1"/>
    </xf>
    <xf numFmtId="0" fontId="21" fillId="0" borderId="4" xfId="0" quotePrefix="1" applyFont="1" applyBorder="1" applyAlignment="1">
      <alignment horizontal="center" vertical="center"/>
    </xf>
    <xf numFmtId="164" fontId="18" fillId="0" borderId="1" xfId="1" applyNumberFormat="1" applyFont="1" applyBorder="1" applyAlignment="1">
      <alignment vertical="center"/>
    </xf>
    <xf numFmtId="164" fontId="18" fillId="0" borderId="1" xfId="0" applyNumberFormat="1" applyFont="1" applyBorder="1" applyAlignment="1">
      <alignment vertical="center"/>
    </xf>
    <xf numFmtId="3" fontId="19" fillId="0" borderId="1" xfId="0" applyNumberFormat="1" applyFont="1" applyBorder="1" applyAlignment="1">
      <alignment vertical="center" wrapText="1"/>
    </xf>
    <xf numFmtId="0" fontId="19" fillId="0" borderId="0" xfId="0" applyFont="1" applyAlignment="1">
      <alignment vertical="center" wrapText="1"/>
    </xf>
    <xf numFmtId="0" fontId="19" fillId="0" borderId="0" xfId="0" applyFont="1" applyAlignment="1">
      <alignment horizontal="left" vertical="center" wrapText="1"/>
    </xf>
    <xf numFmtId="0" fontId="18" fillId="0" borderId="0" xfId="0" applyFont="1"/>
    <xf numFmtId="0" fontId="18" fillId="0" borderId="0" xfId="0" applyFont="1" applyAlignment="1">
      <alignment horizontal="center" vertical="top"/>
    </xf>
    <xf numFmtId="0" fontId="19" fillId="0" borderId="0" xfId="0" applyFont="1" applyAlignment="1">
      <alignment horizontal="center" vertical="top"/>
    </xf>
    <xf numFmtId="0" fontId="21" fillId="0" borderId="2" xfId="0" applyFont="1" applyBorder="1" applyAlignment="1">
      <alignment horizontal="center" vertical="center"/>
    </xf>
    <xf numFmtId="164" fontId="18" fillId="0" borderId="1" xfId="1" applyNumberFormat="1" applyFont="1" applyBorder="1" applyAlignment="1">
      <alignment horizontal="center" vertical="center" wrapText="1"/>
    </xf>
    <xf numFmtId="3" fontId="18" fillId="0" borderId="1" xfId="0" applyNumberFormat="1" applyFont="1" applyBorder="1" applyAlignment="1">
      <alignment horizontal="right" vertical="center" wrapText="1"/>
    </xf>
    <xf numFmtId="0" fontId="18" fillId="0" borderId="0" xfId="0" applyFont="1" applyAlignment="1">
      <alignment horizontal="right" vertical="top" wrapText="1"/>
    </xf>
    <xf numFmtId="164" fontId="18" fillId="0" borderId="1" xfId="1" applyNumberFormat="1" applyFont="1" applyBorder="1" applyAlignment="1">
      <alignment horizontal="left" vertical="center" wrapText="1"/>
    </xf>
    <xf numFmtId="164" fontId="19" fillId="0" borderId="1" xfId="1" applyNumberFormat="1" applyFont="1" applyBorder="1" applyAlignment="1">
      <alignment horizontal="right" vertical="center" wrapText="1"/>
    </xf>
    <xf numFmtId="164" fontId="19" fillId="0" borderId="1" xfId="1" applyNumberFormat="1" applyFont="1" applyBorder="1" applyAlignment="1">
      <alignment horizontal="center" vertical="center" wrapText="1"/>
    </xf>
    <xf numFmtId="164" fontId="18" fillId="0" borderId="1" xfId="1" applyNumberFormat="1" applyFont="1" applyBorder="1" applyAlignment="1">
      <alignment horizontal="right" vertical="center" wrapText="1"/>
    </xf>
    <xf numFmtId="164" fontId="19" fillId="0" borderId="1" xfId="1" applyNumberFormat="1" applyFont="1" applyBorder="1" applyAlignment="1">
      <alignment vertical="center" wrapText="1"/>
    </xf>
    <xf numFmtId="0" fontId="18" fillId="0" borderId="0" xfId="0" applyFont="1" applyAlignment="1">
      <alignment horizontal="left" vertical="center"/>
    </xf>
    <xf numFmtId="0" fontId="18" fillId="0" borderId="1" xfId="0" applyFont="1" applyBorder="1" applyAlignment="1">
      <alignment horizontal="left" vertical="center" wrapText="1"/>
    </xf>
    <xf numFmtId="164" fontId="18" fillId="0" borderId="0" xfId="1" applyNumberFormat="1" applyFont="1" applyAlignment="1">
      <alignment vertical="center"/>
    </xf>
    <xf numFmtId="0" fontId="19" fillId="0" borderId="1" xfId="0" applyFont="1" applyBorder="1" applyAlignment="1">
      <alignment horizontal="left"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wrapText="1"/>
    </xf>
    <xf numFmtId="0" fontId="18" fillId="0" borderId="0" xfId="0" applyFont="1" applyAlignment="1">
      <alignment horizontal="left" vertical="top"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8" fillId="0" borderId="0" xfId="0" applyFont="1" applyAlignment="1">
      <alignment horizontal="left" vertical="top"/>
    </xf>
    <xf numFmtId="0" fontId="19" fillId="0" borderId="1" xfId="0" applyFont="1" applyBorder="1" applyAlignment="1">
      <alignment horizontal="left" vertical="center"/>
    </xf>
    <xf numFmtId="0" fontId="21" fillId="0" borderId="2" xfId="0" quotePrefix="1" applyFont="1" applyBorder="1" applyAlignment="1">
      <alignment horizontal="center" vertical="center"/>
    </xf>
    <xf numFmtId="0" fontId="21" fillId="0" borderId="4" xfId="0" quotePrefix="1" applyFont="1" applyBorder="1" applyAlignment="1">
      <alignment horizontal="center" vertical="center"/>
    </xf>
    <xf numFmtId="0" fontId="21" fillId="0" borderId="1" xfId="0" quotePrefix="1" applyFont="1" applyBorder="1" applyAlignment="1">
      <alignment horizontal="center" vertical="center"/>
    </xf>
    <xf numFmtId="0" fontId="21" fillId="0" borderId="3" xfId="0" quotePrefix="1"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18" fillId="0" borderId="1" xfId="0" applyFont="1" applyBorder="1" applyAlignment="1">
      <alignment horizontal="left" vertical="center" wrapText="1"/>
    </xf>
    <xf numFmtId="3" fontId="7" fillId="2" borderId="19"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7" xfId="0" applyNumberFormat="1" applyFont="1" applyFill="1" applyBorder="1" applyAlignment="1">
      <alignment horizontal="center" vertical="center" wrapText="1"/>
    </xf>
  </cellXfs>
  <cellStyles count="2">
    <cellStyle name="Comma" xfId="1" builtinId="3"/>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805C-F855-4B6A-85D0-61966E75F956}">
  <sheetPr>
    <tabColor theme="9" tint="0.79998168889431442"/>
  </sheetPr>
  <dimension ref="A1:K40"/>
  <sheetViews>
    <sheetView tabSelected="1" topLeftCell="A12" zoomScale="70" zoomScaleNormal="70" workbookViewId="0">
      <selection activeCell="C24" sqref="C24:H24"/>
    </sheetView>
  </sheetViews>
  <sheetFormatPr defaultColWidth="9.140625" defaultRowHeight="26.25" x14ac:dyDescent="0.25"/>
  <cols>
    <col min="1" max="1" width="30.5703125" style="41" customWidth="1"/>
    <col min="2" max="2" width="41" style="41" customWidth="1"/>
    <col min="3" max="3" width="40.5703125" style="41" customWidth="1"/>
    <col min="4" max="4" width="36.42578125" style="41" customWidth="1"/>
    <col min="5" max="5" width="27.7109375" style="41" customWidth="1"/>
    <col min="6" max="6" width="15.28515625" style="41" customWidth="1"/>
    <col min="7" max="7" width="19" style="41" customWidth="1"/>
    <col min="8" max="8" width="31.42578125" style="41" customWidth="1"/>
    <col min="9" max="9" width="9.140625" style="41"/>
    <col min="10" max="10" width="12.85546875" style="41" bestFit="1" customWidth="1"/>
    <col min="11" max="11" width="9.140625" style="41"/>
    <col min="12" max="12" width="19.140625" style="41" bestFit="1" customWidth="1"/>
    <col min="13" max="16384" width="9.140625" style="41"/>
  </cols>
  <sheetData>
    <row r="1" spans="1:10"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2"/>
    </row>
    <row r="4" spans="1:10" x14ac:dyDescent="0.25">
      <c r="A4" s="42"/>
    </row>
    <row r="5" spans="1:10" x14ac:dyDescent="0.25">
      <c r="A5" s="87" t="s">
        <v>106</v>
      </c>
      <c r="B5" s="87"/>
      <c r="C5" s="87"/>
      <c r="D5" s="87"/>
      <c r="E5" s="87"/>
      <c r="F5" s="87"/>
      <c r="G5" s="87"/>
      <c r="H5" s="87"/>
      <c r="I5" s="43"/>
    </row>
    <row r="6" spans="1:10" x14ac:dyDescent="0.25">
      <c r="A6" s="42"/>
    </row>
    <row r="7" spans="1:10" x14ac:dyDescent="0.25">
      <c r="A7" s="44" t="s">
        <v>144</v>
      </c>
    </row>
    <row r="8" spans="1:10" x14ac:dyDescent="0.25">
      <c r="A8" s="41" t="s">
        <v>83</v>
      </c>
    </row>
    <row r="9" spans="1:10" x14ac:dyDescent="0.25">
      <c r="A9" s="45" t="s">
        <v>84</v>
      </c>
      <c r="B9" s="45" t="s">
        <v>85</v>
      </c>
      <c r="C9" s="46"/>
      <c r="D9" s="88" t="s">
        <v>142</v>
      </c>
      <c r="E9" s="88"/>
      <c r="F9" s="88"/>
    </row>
    <row r="10" spans="1:10" x14ac:dyDescent="0.25">
      <c r="A10" s="42"/>
    </row>
    <row r="11" spans="1:10" x14ac:dyDescent="0.25">
      <c r="A11" s="47" t="s">
        <v>122</v>
      </c>
      <c r="D11" s="48"/>
      <c r="E11" s="48"/>
      <c r="F11" s="48"/>
    </row>
    <row r="12" spans="1:10" x14ac:dyDescent="0.25">
      <c r="A12" s="41" t="s">
        <v>83</v>
      </c>
    </row>
    <row r="13" spans="1:10" x14ac:dyDescent="0.25">
      <c r="A13" s="49" t="s">
        <v>128</v>
      </c>
      <c r="B13" s="49" t="s">
        <v>123</v>
      </c>
      <c r="C13" s="46"/>
      <c r="D13" s="88" t="s">
        <v>129</v>
      </c>
      <c r="E13" s="88"/>
      <c r="F13" s="88"/>
      <c r="G13" s="88"/>
    </row>
    <row r="14" spans="1:10" x14ac:dyDescent="0.25">
      <c r="A14" s="50"/>
    </row>
    <row r="15" spans="1:10" ht="56.25" customHeight="1" x14ac:dyDescent="0.25">
      <c r="A15" s="89" t="s">
        <v>146</v>
      </c>
      <c r="B15" s="89"/>
      <c r="C15" s="89"/>
      <c r="D15" s="89"/>
      <c r="E15" s="89"/>
      <c r="F15" s="89"/>
      <c r="G15" s="89"/>
      <c r="H15" s="89"/>
      <c r="J15" s="51"/>
    </row>
    <row r="16" spans="1:10" s="52" customFormat="1" x14ac:dyDescent="0.25">
      <c r="H16" s="53" t="s">
        <v>92</v>
      </c>
      <c r="J16" s="51"/>
    </row>
    <row r="17" spans="1:11" s="52" customFormat="1" x14ac:dyDescent="0.25">
      <c r="A17" s="91" t="s">
        <v>107</v>
      </c>
      <c r="B17" s="91" t="s">
        <v>0</v>
      </c>
      <c r="C17" s="91" t="s">
        <v>86</v>
      </c>
      <c r="D17" s="91" t="s">
        <v>130</v>
      </c>
      <c r="E17" s="91" t="s">
        <v>87</v>
      </c>
      <c r="F17" s="90" t="s">
        <v>109</v>
      </c>
      <c r="G17" s="90"/>
      <c r="H17" s="91" t="s">
        <v>108</v>
      </c>
      <c r="J17" s="51"/>
    </row>
    <row r="18" spans="1:11" s="52" customFormat="1" x14ac:dyDescent="0.25">
      <c r="A18" s="92"/>
      <c r="B18" s="92"/>
      <c r="C18" s="92"/>
      <c r="D18" s="92"/>
      <c r="E18" s="92"/>
      <c r="F18" s="56" t="s">
        <v>88</v>
      </c>
      <c r="G18" s="56" t="s">
        <v>89</v>
      </c>
      <c r="H18" s="92"/>
      <c r="J18" s="51" t="s">
        <v>80</v>
      </c>
    </row>
    <row r="19" spans="1:11" s="52" customFormat="1" ht="105" x14ac:dyDescent="0.25">
      <c r="A19" s="58">
        <v>13111</v>
      </c>
      <c r="B19" s="54">
        <v>1</v>
      </c>
      <c r="C19" s="59" t="s">
        <v>141</v>
      </c>
      <c r="D19" s="60" t="s">
        <v>139</v>
      </c>
      <c r="E19" s="84">
        <v>326285332.52999997</v>
      </c>
      <c r="F19" s="56"/>
      <c r="G19" s="56"/>
      <c r="H19" s="62">
        <f>E19</f>
        <v>326285332.52999997</v>
      </c>
      <c r="J19" s="51"/>
    </row>
    <row r="20" spans="1:11" s="52" customFormat="1" x14ac:dyDescent="0.25">
      <c r="A20" s="85" t="s">
        <v>90</v>
      </c>
      <c r="B20" s="85"/>
      <c r="C20" s="85"/>
      <c r="D20" s="85"/>
      <c r="E20" s="63">
        <f>SUM(E19:E19)</f>
        <v>326285332.52999997</v>
      </c>
      <c r="F20" s="54"/>
      <c r="G20" s="54"/>
      <c r="H20" s="63">
        <f>SUM(H19:H19)</f>
        <v>326285332.52999997</v>
      </c>
      <c r="J20" s="51"/>
    </row>
    <row r="21" spans="1:11" ht="105" x14ac:dyDescent="0.25">
      <c r="A21" s="64" t="s">
        <v>110</v>
      </c>
      <c r="B21" s="54">
        <v>1</v>
      </c>
      <c r="C21" s="59" t="s">
        <v>141</v>
      </c>
      <c r="D21" s="55" t="s">
        <v>80</v>
      </c>
      <c r="E21" s="65">
        <v>28935240</v>
      </c>
      <c r="F21" s="55"/>
      <c r="G21" s="55"/>
      <c r="H21" s="66">
        <f>E21</f>
        <v>28935240</v>
      </c>
      <c r="J21" s="51"/>
    </row>
    <row r="22" spans="1:11" x14ac:dyDescent="0.25">
      <c r="A22" s="85" t="s">
        <v>90</v>
      </c>
      <c r="B22" s="85"/>
      <c r="C22" s="85"/>
      <c r="D22" s="85"/>
      <c r="E22" s="63">
        <f>SUM(E21:E21)</f>
        <v>28935240</v>
      </c>
      <c r="F22" s="67"/>
      <c r="G22" s="63"/>
      <c r="H22" s="63">
        <f>SUM(H21:H21)</f>
        <v>28935240</v>
      </c>
      <c r="K22" s="41" t="s">
        <v>80</v>
      </c>
    </row>
    <row r="23" spans="1:11" x14ac:dyDescent="0.25">
      <c r="A23" s="94" t="s">
        <v>112</v>
      </c>
      <c r="B23" s="94"/>
      <c r="C23" s="94"/>
      <c r="D23" s="94"/>
      <c r="E23" s="63">
        <f>E20+E22</f>
        <v>355220572.52999997</v>
      </c>
      <c r="F23" s="67"/>
      <c r="G23" s="63"/>
      <c r="H23" s="63">
        <f>H20+H22</f>
        <v>355220572.52999997</v>
      </c>
    </row>
    <row r="24" spans="1:11" x14ac:dyDescent="0.25">
      <c r="A24" s="90" t="s">
        <v>91</v>
      </c>
      <c r="B24" s="90"/>
      <c r="C24" s="85" t="s">
        <v>154</v>
      </c>
      <c r="D24" s="85"/>
      <c r="E24" s="85"/>
      <c r="F24" s="85"/>
      <c r="G24" s="85"/>
      <c r="H24" s="85"/>
    </row>
    <row r="25" spans="1:11" s="70" customFormat="1" x14ac:dyDescent="0.4">
      <c r="A25" s="68"/>
      <c r="B25" s="69"/>
      <c r="C25" s="69"/>
      <c r="D25" s="69"/>
      <c r="E25" s="69"/>
      <c r="F25" s="69"/>
      <c r="G25" s="69"/>
    </row>
    <row r="26" spans="1:11" ht="57.75" customHeight="1" x14ac:dyDescent="0.25">
      <c r="A26" s="88" t="s">
        <v>147</v>
      </c>
      <c r="B26" s="88"/>
      <c r="C26" s="88"/>
      <c r="D26" s="88"/>
      <c r="E26" s="88"/>
      <c r="F26" s="88"/>
      <c r="G26" s="88"/>
      <c r="H26" s="88"/>
    </row>
    <row r="27" spans="1:11" ht="41.25" customHeight="1" x14ac:dyDescent="0.25">
      <c r="A27" s="88" t="s">
        <v>143</v>
      </c>
      <c r="B27" s="88"/>
      <c r="C27" s="88"/>
      <c r="D27" s="88"/>
      <c r="E27" s="88"/>
      <c r="F27" s="88"/>
      <c r="G27" s="88"/>
      <c r="H27" s="88"/>
    </row>
    <row r="28" spans="1:11" x14ac:dyDescent="0.25">
      <c r="A28" s="93" t="s">
        <v>113</v>
      </c>
      <c r="B28" s="93"/>
      <c r="C28" s="93"/>
      <c r="D28" s="93"/>
      <c r="E28" s="93"/>
      <c r="F28" s="93"/>
      <c r="G28" s="93"/>
      <c r="H28" s="93"/>
    </row>
    <row r="29" spans="1:11" x14ac:dyDescent="0.25">
      <c r="A29" s="93" t="s">
        <v>114</v>
      </c>
      <c r="B29" s="93"/>
      <c r="C29" s="93"/>
      <c r="D29" s="93"/>
      <c r="E29" s="93"/>
      <c r="F29" s="93"/>
      <c r="G29" s="93"/>
      <c r="H29" s="93"/>
    </row>
    <row r="30" spans="1:11" x14ac:dyDescent="0.25">
      <c r="A30" s="42"/>
      <c r="B30" s="42"/>
      <c r="C30" s="42"/>
      <c r="D30" s="42"/>
      <c r="E30" s="42"/>
      <c r="F30" s="42"/>
      <c r="G30" s="42"/>
      <c r="H30" s="42"/>
    </row>
    <row r="31" spans="1:11" x14ac:dyDescent="0.25">
      <c r="B31" s="41" t="s">
        <v>93</v>
      </c>
      <c r="F31" s="71" t="s">
        <v>93</v>
      </c>
    </row>
    <row r="32" spans="1:11" x14ac:dyDescent="0.25">
      <c r="B32" s="72" t="s">
        <v>148</v>
      </c>
      <c r="C32" s="72"/>
      <c r="F32" s="72" t="s">
        <v>132</v>
      </c>
    </row>
    <row r="37" spans="2:8" x14ac:dyDescent="0.25">
      <c r="H37" s="71"/>
    </row>
    <row r="39" spans="2:8" x14ac:dyDescent="0.25">
      <c r="B39" s="71" t="s">
        <v>85</v>
      </c>
      <c r="C39" s="71"/>
      <c r="F39" s="71" t="s">
        <v>123</v>
      </c>
    </row>
    <row r="40" spans="2:8" x14ac:dyDescent="0.25">
      <c r="G40" s="71"/>
    </row>
  </sheetData>
  <mergeCells count="22">
    <mergeCell ref="A29:H29"/>
    <mergeCell ref="A23:D23"/>
    <mergeCell ref="A24:B24"/>
    <mergeCell ref="C24:H24"/>
    <mergeCell ref="A26:H26"/>
    <mergeCell ref="A27:H27"/>
    <mergeCell ref="A28:H28"/>
    <mergeCell ref="A22:D22"/>
    <mergeCell ref="A1:H1"/>
    <mergeCell ref="A2:H2"/>
    <mergeCell ref="A5:H5"/>
    <mergeCell ref="D9:F9"/>
    <mergeCell ref="D13:G13"/>
    <mergeCell ref="A15:H15"/>
    <mergeCell ref="F17:G17"/>
    <mergeCell ref="A20:D20"/>
    <mergeCell ref="A17:A18"/>
    <mergeCell ref="B17:B18"/>
    <mergeCell ref="C17:C18"/>
    <mergeCell ref="D17:D18"/>
    <mergeCell ref="E17:E18"/>
    <mergeCell ref="H17:H18"/>
  </mergeCells>
  <conditionalFormatting sqref="C19">
    <cfRule type="duplicateValues" dxfId="12" priority="2"/>
  </conditionalFormatting>
  <conditionalFormatting sqref="C21">
    <cfRule type="duplicateValues" dxfId="11" priority="1"/>
  </conditionalFormatting>
  <pageMargins left="0.7" right="0.7" top="0.75" bottom="0.75" header="0.3" footer="0.3"/>
  <pageSetup paperSize="9" scale="35" orientation="portrait" verticalDpi="0" r:id="rId1"/>
  <colBreaks count="1" manualBreakCount="1">
    <brk id="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8640-2B51-4E23-8557-88FAF219441B}">
  <sheetPr>
    <tabColor theme="9" tint="0.79998168889431442"/>
    <pageSetUpPr fitToPage="1"/>
  </sheetPr>
  <dimension ref="A1:J41"/>
  <sheetViews>
    <sheetView topLeftCell="A6" zoomScale="55" zoomScaleNormal="55" workbookViewId="0">
      <selection activeCell="C25" sqref="C25:H25"/>
    </sheetView>
  </sheetViews>
  <sheetFormatPr defaultColWidth="9.140625" defaultRowHeight="26.25" x14ac:dyDescent="0.25"/>
  <cols>
    <col min="1" max="1" width="30.5703125" style="41" customWidth="1"/>
    <col min="2" max="2" width="41" style="41" customWidth="1"/>
    <col min="3" max="3" width="50.140625" style="41" customWidth="1"/>
    <col min="4" max="4" width="36.42578125" style="41" customWidth="1"/>
    <col min="5" max="5" width="27.7109375" style="41" customWidth="1"/>
    <col min="6" max="6" width="15.28515625" style="41" customWidth="1"/>
    <col min="7" max="7" width="19" style="41" customWidth="1"/>
    <col min="8" max="8" width="31.42578125" style="41" customWidth="1"/>
    <col min="9" max="9" width="9.140625" style="41"/>
    <col min="10" max="10" width="12.85546875" style="41" bestFit="1" customWidth="1"/>
    <col min="11" max="16384" width="9.140625" style="41"/>
  </cols>
  <sheetData>
    <row r="1" spans="1:10" ht="28.5" customHeight="1"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0"/>
      <c r="B3" s="40"/>
      <c r="C3" s="40"/>
      <c r="D3" s="40"/>
      <c r="E3" s="40"/>
      <c r="F3" s="40"/>
      <c r="G3" s="40"/>
      <c r="H3" s="40"/>
    </row>
    <row r="4" spans="1:10" x14ac:dyDescent="0.25">
      <c r="A4" s="42"/>
    </row>
    <row r="5" spans="1:10" ht="28.5" customHeight="1" x14ac:dyDescent="0.25">
      <c r="A5" s="87" t="s">
        <v>106</v>
      </c>
      <c r="B5" s="87"/>
      <c r="C5" s="87"/>
      <c r="D5" s="87"/>
      <c r="E5" s="87"/>
      <c r="F5" s="87"/>
      <c r="G5" s="87"/>
      <c r="H5" s="87"/>
      <c r="I5" s="43"/>
    </row>
    <row r="6" spans="1:10" x14ac:dyDescent="0.25">
      <c r="A6" s="42"/>
    </row>
    <row r="7" spans="1:10" x14ac:dyDescent="0.25">
      <c r="A7" s="44" t="s">
        <v>144</v>
      </c>
    </row>
    <row r="8" spans="1:10" x14ac:dyDescent="0.25">
      <c r="A8" s="41" t="s">
        <v>83</v>
      </c>
    </row>
    <row r="9" spans="1:10" x14ac:dyDescent="0.25">
      <c r="A9" s="45" t="s">
        <v>84</v>
      </c>
      <c r="B9" s="45" t="s">
        <v>85</v>
      </c>
      <c r="C9" s="46"/>
      <c r="D9" s="88" t="s">
        <v>142</v>
      </c>
      <c r="E9" s="88"/>
      <c r="F9" s="88"/>
    </row>
    <row r="10" spans="1:10" x14ac:dyDescent="0.25">
      <c r="A10" s="42"/>
    </row>
    <row r="11" spans="1:10" ht="28.5" customHeight="1" x14ac:dyDescent="0.25">
      <c r="A11" s="47" t="s">
        <v>102</v>
      </c>
      <c r="D11" s="48"/>
      <c r="E11" s="48"/>
      <c r="F11" s="48"/>
    </row>
    <row r="12" spans="1:10" ht="24.75" customHeight="1" x14ac:dyDescent="0.25">
      <c r="A12" s="41" t="s">
        <v>83</v>
      </c>
    </row>
    <row r="13" spans="1:10" ht="26.25" customHeight="1" x14ac:dyDescent="0.25">
      <c r="A13" s="49" t="s">
        <v>131</v>
      </c>
      <c r="B13" s="45" t="s">
        <v>95</v>
      </c>
      <c r="C13" s="46"/>
      <c r="D13" s="52" t="s">
        <v>103</v>
      </c>
      <c r="E13" s="49"/>
      <c r="F13" s="49"/>
    </row>
    <row r="14" spans="1:10" x14ac:dyDescent="0.25">
      <c r="A14" s="50"/>
    </row>
    <row r="15" spans="1:10" ht="52.5" customHeight="1" x14ac:dyDescent="0.25">
      <c r="A15" s="89" t="s">
        <v>146</v>
      </c>
      <c r="B15" s="89"/>
      <c r="C15" s="89"/>
      <c r="D15" s="89"/>
      <c r="E15" s="89"/>
      <c r="F15" s="89"/>
      <c r="G15" s="89"/>
      <c r="H15" s="89"/>
      <c r="J15" s="51"/>
    </row>
    <row r="16" spans="1:10" s="52" customFormat="1" x14ac:dyDescent="0.25">
      <c r="H16" s="53" t="s">
        <v>92</v>
      </c>
      <c r="J16" s="51"/>
    </row>
    <row r="17" spans="1:10" ht="57" customHeight="1" x14ac:dyDescent="0.25">
      <c r="A17" s="91" t="s">
        <v>107</v>
      </c>
      <c r="B17" s="91" t="s">
        <v>0</v>
      </c>
      <c r="C17" s="91" t="s">
        <v>86</v>
      </c>
      <c r="D17" s="91" t="s">
        <v>130</v>
      </c>
      <c r="E17" s="91" t="s">
        <v>87</v>
      </c>
      <c r="F17" s="90" t="s">
        <v>109</v>
      </c>
      <c r="G17" s="90"/>
      <c r="H17" s="91" t="s">
        <v>108</v>
      </c>
      <c r="J17" s="51"/>
    </row>
    <row r="18" spans="1:10" x14ac:dyDescent="0.25">
      <c r="A18" s="92"/>
      <c r="B18" s="92"/>
      <c r="C18" s="92"/>
      <c r="D18" s="92"/>
      <c r="E18" s="92"/>
      <c r="F18" s="56" t="s">
        <v>88</v>
      </c>
      <c r="G18" s="56" t="s">
        <v>89</v>
      </c>
      <c r="H18" s="92"/>
      <c r="I18" s="51"/>
    </row>
    <row r="19" spans="1:10" ht="57.75" customHeight="1" x14ac:dyDescent="0.25">
      <c r="A19" s="73">
        <v>13111</v>
      </c>
      <c r="B19" s="54">
        <v>1</v>
      </c>
      <c r="C19" s="59" t="s">
        <v>125</v>
      </c>
      <c r="D19" s="60" t="s">
        <v>124</v>
      </c>
      <c r="E19" s="74">
        <v>40821274214</v>
      </c>
      <c r="F19" s="56"/>
      <c r="G19" s="56"/>
      <c r="H19" s="62">
        <f>E19</f>
        <v>40821274214</v>
      </c>
    </row>
    <row r="20" spans="1:10" ht="38.25" customHeight="1" x14ac:dyDescent="0.25">
      <c r="A20" s="85" t="s">
        <v>90</v>
      </c>
      <c r="B20" s="85"/>
      <c r="C20" s="85"/>
      <c r="D20" s="85"/>
      <c r="E20" s="63">
        <f>SUM(E19:E19)</f>
        <v>40821274214</v>
      </c>
      <c r="F20" s="54"/>
      <c r="G20" s="54"/>
      <c r="H20" s="63">
        <f>SUM(H19:H19)</f>
        <v>40821274214</v>
      </c>
      <c r="I20" s="41" t="s">
        <v>80</v>
      </c>
    </row>
    <row r="21" spans="1:10" ht="56.25" customHeight="1" x14ac:dyDescent="0.25">
      <c r="A21" s="95" t="s">
        <v>110</v>
      </c>
      <c r="B21" s="54">
        <v>1</v>
      </c>
      <c r="C21" s="59" t="s">
        <v>111</v>
      </c>
      <c r="D21" s="57"/>
      <c r="E21" s="75">
        <v>28191051.600000001</v>
      </c>
      <c r="F21" s="54"/>
      <c r="G21" s="54"/>
      <c r="H21" s="66">
        <f>E21</f>
        <v>28191051.600000001</v>
      </c>
    </row>
    <row r="22" spans="1:10" ht="57.75" customHeight="1" x14ac:dyDescent="0.25">
      <c r="A22" s="96"/>
      <c r="B22" s="54">
        <v>2</v>
      </c>
      <c r="C22" s="59" t="s">
        <v>126</v>
      </c>
      <c r="D22" s="55"/>
      <c r="E22" s="65">
        <v>-701816706</v>
      </c>
      <c r="F22" s="55"/>
      <c r="G22" s="55"/>
      <c r="H22" s="66">
        <f>E22</f>
        <v>-701816706</v>
      </c>
    </row>
    <row r="23" spans="1:10" ht="33.75" customHeight="1" x14ac:dyDescent="0.25">
      <c r="A23" s="85" t="s">
        <v>90</v>
      </c>
      <c r="B23" s="85"/>
      <c r="C23" s="85"/>
      <c r="D23" s="85"/>
      <c r="E23" s="63">
        <f>SUM(E21:E22)</f>
        <v>-673625654.39999998</v>
      </c>
      <c r="F23" s="67"/>
      <c r="G23" s="63"/>
      <c r="H23" s="63">
        <f>SUM(H21:H22)</f>
        <v>-673625654.39999998</v>
      </c>
    </row>
    <row r="24" spans="1:10" ht="31.5" customHeight="1" x14ac:dyDescent="0.25">
      <c r="A24" s="94" t="s">
        <v>112</v>
      </c>
      <c r="B24" s="94"/>
      <c r="C24" s="94"/>
      <c r="D24" s="94"/>
      <c r="E24" s="63">
        <f>E20+E23</f>
        <v>40147648559.599998</v>
      </c>
      <c r="F24" s="67"/>
      <c r="G24" s="63"/>
      <c r="H24" s="63">
        <f>H20+H23</f>
        <v>40147648559.599998</v>
      </c>
    </row>
    <row r="25" spans="1:10" s="70" customFormat="1" ht="33" customHeight="1" x14ac:dyDescent="0.4">
      <c r="A25" s="90" t="s">
        <v>91</v>
      </c>
      <c r="B25" s="90"/>
      <c r="C25" s="85" t="s">
        <v>153</v>
      </c>
      <c r="D25" s="85"/>
      <c r="E25" s="85"/>
      <c r="F25" s="85"/>
      <c r="G25" s="85"/>
      <c r="H25" s="85"/>
    </row>
    <row r="26" spans="1:10" s="70" customFormat="1" ht="24" customHeight="1" x14ac:dyDescent="0.4">
      <c r="A26" s="68"/>
      <c r="B26" s="69"/>
      <c r="C26" s="69"/>
      <c r="D26" s="69"/>
      <c r="E26" s="69"/>
      <c r="F26" s="69"/>
      <c r="G26" s="69"/>
    </row>
    <row r="27" spans="1:10" ht="63" customHeight="1" x14ac:dyDescent="0.25">
      <c r="A27" s="88" t="s">
        <v>147</v>
      </c>
      <c r="B27" s="88"/>
      <c r="C27" s="88"/>
      <c r="D27" s="88"/>
      <c r="E27" s="88"/>
      <c r="F27" s="88"/>
      <c r="G27" s="88"/>
      <c r="H27" s="88"/>
    </row>
    <row r="28" spans="1:10" ht="41.25" customHeight="1" x14ac:dyDescent="0.25">
      <c r="A28" s="88" t="s">
        <v>143</v>
      </c>
      <c r="B28" s="88"/>
      <c r="C28" s="88"/>
      <c r="D28" s="88"/>
      <c r="E28" s="88"/>
      <c r="F28" s="88"/>
      <c r="G28" s="88"/>
      <c r="H28" s="88"/>
    </row>
    <row r="29" spans="1:10" ht="28.5" customHeight="1" x14ac:dyDescent="0.25">
      <c r="A29" s="93" t="s">
        <v>113</v>
      </c>
      <c r="B29" s="93"/>
      <c r="C29" s="93"/>
      <c r="D29" s="93"/>
      <c r="E29" s="93"/>
      <c r="F29" s="93"/>
      <c r="G29" s="93"/>
      <c r="H29" s="93"/>
    </row>
    <row r="30" spans="1:10" ht="26.25" customHeight="1" x14ac:dyDescent="0.25">
      <c r="A30" s="93" t="s">
        <v>114</v>
      </c>
      <c r="B30" s="93"/>
      <c r="C30" s="93"/>
      <c r="D30" s="93"/>
      <c r="E30" s="93"/>
      <c r="F30" s="93"/>
      <c r="G30" s="93"/>
      <c r="H30" s="93"/>
    </row>
    <row r="31" spans="1:10" ht="27" customHeight="1" x14ac:dyDescent="0.25">
      <c r="B31" s="41" t="s">
        <v>93</v>
      </c>
      <c r="F31" s="71" t="s">
        <v>93</v>
      </c>
    </row>
    <row r="32" spans="1:10" x14ac:dyDescent="0.25">
      <c r="B32" s="72" t="s">
        <v>148</v>
      </c>
      <c r="C32" s="72"/>
      <c r="F32" s="72" t="s">
        <v>133</v>
      </c>
    </row>
    <row r="35" spans="2:8" x14ac:dyDescent="0.25">
      <c r="H35" s="52"/>
    </row>
    <row r="38" spans="2:8" x14ac:dyDescent="0.25">
      <c r="H38" s="71"/>
    </row>
    <row r="39" spans="2:8" ht="30" customHeight="1" x14ac:dyDescent="0.25"/>
    <row r="40" spans="2:8" ht="27.75" customHeight="1" x14ac:dyDescent="0.25">
      <c r="B40" s="71" t="s">
        <v>85</v>
      </c>
      <c r="C40" s="71"/>
      <c r="F40" s="71" t="s">
        <v>95</v>
      </c>
    </row>
    <row r="41" spans="2:8" ht="27.75" customHeight="1" x14ac:dyDescent="0.25">
      <c r="G41" s="71"/>
    </row>
  </sheetData>
  <mergeCells count="22">
    <mergeCell ref="A29:H29"/>
    <mergeCell ref="A30:H30"/>
    <mergeCell ref="A23:D23"/>
    <mergeCell ref="A24:D24"/>
    <mergeCell ref="A25:B25"/>
    <mergeCell ref="C25:H25"/>
    <mergeCell ref="A27:H27"/>
    <mergeCell ref="A28:H28"/>
    <mergeCell ref="A21:A22"/>
    <mergeCell ref="A1:H1"/>
    <mergeCell ref="A2:H2"/>
    <mergeCell ref="A5:H5"/>
    <mergeCell ref="D9:F9"/>
    <mergeCell ref="A15:H15"/>
    <mergeCell ref="F17:G17"/>
    <mergeCell ref="A20:D20"/>
    <mergeCell ref="A17:A18"/>
    <mergeCell ref="B17:B18"/>
    <mergeCell ref="C17:C18"/>
    <mergeCell ref="D17:D18"/>
    <mergeCell ref="E17:E18"/>
    <mergeCell ref="H17:H18"/>
  </mergeCells>
  <conditionalFormatting sqref="C19">
    <cfRule type="duplicateValues" dxfId="10" priority="26"/>
  </conditionalFormatting>
  <conditionalFormatting sqref="C21:C22">
    <cfRule type="duplicateValues" dxfId="9" priority="1"/>
  </conditionalFormatting>
  <pageMargins left="0.47" right="0.36" top="0.85" bottom="0.75" header="0.3" footer="0.3"/>
  <pageSetup scale="38" fitToHeight="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BF78A-F96F-4C8D-AB38-8D1C97274844}">
  <sheetPr>
    <tabColor theme="9" tint="0.79998168889431442"/>
    <pageSetUpPr fitToPage="1"/>
  </sheetPr>
  <dimension ref="A1:J43"/>
  <sheetViews>
    <sheetView topLeftCell="A6" zoomScale="55" zoomScaleNormal="55" workbookViewId="0">
      <selection activeCell="H21" sqref="H21:H22"/>
    </sheetView>
  </sheetViews>
  <sheetFormatPr defaultColWidth="9.140625" defaultRowHeight="26.25" x14ac:dyDescent="0.25"/>
  <cols>
    <col min="1" max="1" width="30.5703125" style="41" customWidth="1"/>
    <col min="2" max="2" width="43.42578125" style="41" customWidth="1"/>
    <col min="3" max="3" width="45.42578125" style="41" customWidth="1"/>
    <col min="4" max="4" width="36.42578125" style="41" customWidth="1"/>
    <col min="5" max="5" width="27.7109375" style="41" customWidth="1"/>
    <col min="6" max="6" width="15.28515625" style="41" customWidth="1"/>
    <col min="7" max="7" width="19" style="41" customWidth="1"/>
    <col min="8" max="8" width="31.42578125" style="41" customWidth="1"/>
    <col min="9" max="9" width="9.140625" style="41"/>
    <col min="10" max="10" width="12.85546875" style="41" bestFit="1" customWidth="1"/>
    <col min="11" max="16384" width="9.140625" style="41"/>
  </cols>
  <sheetData>
    <row r="1" spans="1:10" ht="28.5" customHeight="1"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0"/>
      <c r="B3" s="40"/>
      <c r="C3" s="40"/>
      <c r="D3" s="40"/>
      <c r="E3" s="40"/>
      <c r="F3" s="40"/>
      <c r="G3" s="40"/>
      <c r="H3" s="40"/>
    </row>
    <row r="4" spans="1:10" x14ac:dyDescent="0.25">
      <c r="A4" s="42"/>
    </row>
    <row r="5" spans="1:10" ht="28.5" customHeight="1" x14ac:dyDescent="0.25">
      <c r="A5" s="87" t="s">
        <v>106</v>
      </c>
      <c r="B5" s="87"/>
      <c r="C5" s="87"/>
      <c r="D5" s="87"/>
      <c r="E5" s="87"/>
      <c r="F5" s="87"/>
      <c r="G5" s="87"/>
      <c r="H5" s="87"/>
      <c r="I5" s="43"/>
    </row>
    <row r="6" spans="1:10" x14ac:dyDescent="0.25">
      <c r="A6" s="42"/>
    </row>
    <row r="7" spans="1:10" x14ac:dyDescent="0.25">
      <c r="A7" s="44" t="s">
        <v>144</v>
      </c>
    </row>
    <row r="8" spans="1:10" x14ac:dyDescent="0.25">
      <c r="A8" s="41" t="s">
        <v>83</v>
      </c>
    </row>
    <row r="9" spans="1:10" x14ac:dyDescent="0.25">
      <c r="A9" s="45" t="s">
        <v>84</v>
      </c>
      <c r="B9" s="45" t="s">
        <v>85</v>
      </c>
      <c r="C9" s="46"/>
      <c r="D9" s="88" t="s">
        <v>142</v>
      </c>
      <c r="E9" s="88"/>
      <c r="F9" s="88"/>
    </row>
    <row r="10" spans="1:10" x14ac:dyDescent="0.25">
      <c r="A10" s="42"/>
    </row>
    <row r="11" spans="1:10" ht="28.5" customHeight="1" x14ac:dyDescent="0.25">
      <c r="A11" s="47" t="s">
        <v>97</v>
      </c>
      <c r="B11" s="47"/>
      <c r="D11" s="48"/>
      <c r="E11" s="48"/>
      <c r="F11" s="48"/>
    </row>
    <row r="12" spans="1:10" ht="24.75" customHeight="1" x14ac:dyDescent="0.25">
      <c r="A12" s="41" t="s">
        <v>83</v>
      </c>
    </row>
    <row r="13" spans="1:10" x14ac:dyDescent="0.25">
      <c r="A13" s="45" t="s">
        <v>84</v>
      </c>
      <c r="B13" s="45" t="s">
        <v>94</v>
      </c>
      <c r="C13" s="46"/>
      <c r="D13" s="88" t="s">
        <v>104</v>
      </c>
      <c r="E13" s="88"/>
      <c r="F13" s="88"/>
    </row>
    <row r="14" spans="1:10" x14ac:dyDescent="0.25">
      <c r="A14" s="50"/>
    </row>
    <row r="15" spans="1:10" ht="49.5" customHeight="1" x14ac:dyDescent="0.25">
      <c r="A15" s="89" t="s">
        <v>146</v>
      </c>
      <c r="B15" s="89"/>
      <c r="C15" s="89"/>
      <c r="D15" s="89"/>
      <c r="E15" s="89"/>
      <c r="F15" s="89"/>
      <c r="G15" s="89"/>
      <c r="H15" s="89"/>
      <c r="J15" s="51"/>
    </row>
    <row r="16" spans="1:10" s="52" customFormat="1" x14ac:dyDescent="0.25">
      <c r="H16" s="53" t="s">
        <v>92</v>
      </c>
      <c r="J16" s="51"/>
    </row>
    <row r="17" spans="1:10" ht="57" customHeight="1" x14ac:dyDescent="0.25">
      <c r="A17" s="91" t="s">
        <v>107</v>
      </c>
      <c r="B17" s="91" t="s">
        <v>0</v>
      </c>
      <c r="C17" s="91" t="s">
        <v>86</v>
      </c>
      <c r="D17" s="91" t="s">
        <v>130</v>
      </c>
      <c r="E17" s="91" t="s">
        <v>87</v>
      </c>
      <c r="F17" s="90" t="s">
        <v>109</v>
      </c>
      <c r="G17" s="90"/>
      <c r="H17" s="91" t="s">
        <v>108</v>
      </c>
      <c r="J17" s="51"/>
    </row>
    <row r="18" spans="1:10" x14ac:dyDescent="0.25">
      <c r="A18" s="92"/>
      <c r="B18" s="92"/>
      <c r="C18" s="92"/>
      <c r="D18" s="92"/>
      <c r="E18" s="92"/>
      <c r="F18" s="56" t="s">
        <v>88</v>
      </c>
      <c r="G18" s="56" t="s">
        <v>89</v>
      </c>
      <c r="H18" s="92"/>
      <c r="I18" s="51"/>
    </row>
    <row r="19" spans="1:10" ht="78.75" x14ac:dyDescent="0.25">
      <c r="A19" s="73">
        <v>13111</v>
      </c>
      <c r="B19" s="54">
        <v>1</v>
      </c>
      <c r="C19" s="59" t="s">
        <v>125</v>
      </c>
      <c r="D19" s="60" t="s">
        <v>124</v>
      </c>
      <c r="E19" s="74">
        <v>20669581985</v>
      </c>
      <c r="F19" s="56"/>
      <c r="G19" s="56"/>
      <c r="H19" s="62">
        <f>E19</f>
        <v>20669581985</v>
      </c>
    </row>
    <row r="20" spans="1:10" ht="38.25" customHeight="1" x14ac:dyDescent="0.25">
      <c r="A20" s="85" t="s">
        <v>90</v>
      </c>
      <c r="B20" s="85"/>
      <c r="C20" s="85"/>
      <c r="D20" s="85"/>
      <c r="E20" s="63">
        <f>SUM(E19:E19)</f>
        <v>20669581985</v>
      </c>
      <c r="F20" s="54"/>
      <c r="G20" s="54"/>
      <c r="H20" s="63">
        <f>SUM(H19:H19)</f>
        <v>20669581985</v>
      </c>
    </row>
    <row r="21" spans="1:10" ht="105" x14ac:dyDescent="0.25">
      <c r="A21" s="97" t="s">
        <v>110</v>
      </c>
      <c r="B21" s="54">
        <v>1</v>
      </c>
      <c r="C21" s="59" t="s">
        <v>111</v>
      </c>
      <c r="D21" s="55"/>
      <c r="E21" s="65">
        <v>938300</v>
      </c>
      <c r="F21" s="55"/>
      <c r="G21" s="55"/>
      <c r="H21" s="66">
        <f>E21</f>
        <v>938300</v>
      </c>
    </row>
    <row r="22" spans="1:10" ht="105" x14ac:dyDescent="0.25">
      <c r="A22" s="97"/>
      <c r="B22" s="54">
        <v>2</v>
      </c>
      <c r="C22" s="59" t="s">
        <v>126</v>
      </c>
      <c r="D22" s="55"/>
      <c r="E22" s="65">
        <v>5956350</v>
      </c>
      <c r="F22" s="55"/>
      <c r="G22" s="55"/>
      <c r="H22" s="66">
        <f>E22</f>
        <v>5956350</v>
      </c>
    </row>
    <row r="23" spans="1:10" ht="33.75" customHeight="1" x14ac:dyDescent="0.25">
      <c r="A23" s="85" t="s">
        <v>90</v>
      </c>
      <c r="B23" s="85"/>
      <c r="C23" s="85"/>
      <c r="D23" s="85"/>
      <c r="E23" s="63">
        <f>SUM(E21:E22)</f>
        <v>6894650</v>
      </c>
      <c r="F23" s="67"/>
      <c r="G23" s="63"/>
      <c r="H23" s="63">
        <f>SUM(H21:H22)</f>
        <v>6894650</v>
      </c>
    </row>
    <row r="24" spans="1:10" ht="31.5" customHeight="1" x14ac:dyDescent="0.25">
      <c r="A24" s="94" t="s">
        <v>112</v>
      </c>
      <c r="B24" s="94"/>
      <c r="C24" s="94"/>
      <c r="D24" s="94"/>
      <c r="E24" s="63">
        <f>E20+E23</f>
        <v>20676476635</v>
      </c>
      <c r="F24" s="67"/>
      <c r="G24" s="63"/>
      <c r="H24" s="63">
        <f>H20+H23</f>
        <v>20676476635</v>
      </c>
    </row>
    <row r="25" spans="1:10" s="70" customFormat="1" x14ac:dyDescent="0.4">
      <c r="A25" s="90" t="s">
        <v>91</v>
      </c>
      <c r="B25" s="90"/>
      <c r="C25" s="85" t="s">
        <v>152</v>
      </c>
      <c r="D25" s="85"/>
      <c r="E25" s="85"/>
      <c r="F25" s="85"/>
      <c r="G25" s="85"/>
      <c r="H25" s="85"/>
    </row>
    <row r="26" spans="1:10" s="70" customFormat="1" ht="24" customHeight="1" x14ac:dyDescent="0.4">
      <c r="A26" s="68"/>
      <c r="B26" s="69"/>
      <c r="C26" s="69"/>
      <c r="D26" s="69"/>
      <c r="E26" s="69"/>
      <c r="F26" s="69"/>
      <c r="G26" s="69"/>
    </row>
    <row r="27" spans="1:10" ht="57.75" customHeight="1" x14ac:dyDescent="0.25">
      <c r="A27" s="88" t="s">
        <v>147</v>
      </c>
      <c r="B27" s="88"/>
      <c r="C27" s="88"/>
      <c r="D27" s="88"/>
      <c r="E27" s="88"/>
      <c r="F27" s="88"/>
      <c r="G27" s="88"/>
      <c r="H27" s="88"/>
    </row>
    <row r="28" spans="1:10" ht="41.25" customHeight="1" x14ac:dyDescent="0.25">
      <c r="A28" s="88" t="s">
        <v>143</v>
      </c>
      <c r="B28" s="88"/>
      <c r="C28" s="88"/>
      <c r="D28" s="88"/>
      <c r="E28" s="88"/>
      <c r="F28" s="88"/>
      <c r="G28" s="88"/>
      <c r="H28" s="88"/>
    </row>
    <row r="29" spans="1:10" ht="28.5" customHeight="1" x14ac:dyDescent="0.25">
      <c r="A29" s="93" t="s">
        <v>113</v>
      </c>
      <c r="B29" s="93"/>
      <c r="C29" s="93"/>
      <c r="D29" s="93"/>
      <c r="E29" s="93"/>
      <c r="F29" s="93"/>
      <c r="G29" s="93"/>
      <c r="H29" s="93"/>
    </row>
    <row r="30" spans="1:10" ht="26.25" customHeight="1" x14ac:dyDescent="0.25">
      <c r="A30" s="93" t="s">
        <v>114</v>
      </c>
      <c r="B30" s="93"/>
      <c r="C30" s="93"/>
      <c r="D30" s="93"/>
      <c r="E30" s="93"/>
      <c r="F30" s="93"/>
      <c r="G30" s="93"/>
      <c r="H30" s="93"/>
    </row>
    <row r="31" spans="1:10" ht="27" customHeight="1" x14ac:dyDescent="0.25">
      <c r="B31" s="41" t="s">
        <v>93</v>
      </c>
      <c r="F31" s="71" t="s">
        <v>93</v>
      </c>
    </row>
    <row r="32" spans="1:10" x14ac:dyDescent="0.25">
      <c r="B32" s="72" t="s">
        <v>148</v>
      </c>
      <c r="C32" s="72"/>
      <c r="F32" s="72" t="s">
        <v>134</v>
      </c>
    </row>
    <row r="37" spans="2:8" x14ac:dyDescent="0.25">
      <c r="H37" s="52"/>
    </row>
    <row r="40" spans="2:8" x14ac:dyDescent="0.25">
      <c r="H40" s="71"/>
    </row>
    <row r="41" spans="2:8" ht="30" customHeight="1" x14ac:dyDescent="0.25"/>
    <row r="42" spans="2:8" ht="28.5" customHeight="1" x14ac:dyDescent="0.25">
      <c r="B42" s="71" t="s">
        <v>85</v>
      </c>
      <c r="C42" s="71"/>
      <c r="F42" s="71" t="s">
        <v>94</v>
      </c>
    </row>
    <row r="43" spans="2:8" ht="27.75" customHeight="1" x14ac:dyDescent="0.25">
      <c r="G43" s="71"/>
    </row>
  </sheetData>
  <mergeCells count="23">
    <mergeCell ref="A20:D20"/>
    <mergeCell ref="A1:H1"/>
    <mergeCell ref="A2:H2"/>
    <mergeCell ref="D13:F13"/>
    <mergeCell ref="A15:H15"/>
    <mergeCell ref="F17:G17"/>
    <mergeCell ref="A5:H5"/>
    <mergeCell ref="D9:F9"/>
    <mergeCell ref="A17:A18"/>
    <mergeCell ref="B17:B18"/>
    <mergeCell ref="C17:C18"/>
    <mergeCell ref="D17:D18"/>
    <mergeCell ref="E17:E18"/>
    <mergeCell ref="H17:H18"/>
    <mergeCell ref="A28:H28"/>
    <mergeCell ref="A29:H29"/>
    <mergeCell ref="A30:H30"/>
    <mergeCell ref="A21:A22"/>
    <mergeCell ref="A23:D23"/>
    <mergeCell ref="A24:D24"/>
    <mergeCell ref="A25:B25"/>
    <mergeCell ref="C25:H25"/>
    <mergeCell ref="A27:H27"/>
  </mergeCells>
  <phoneticPr fontId="2" type="noConversion"/>
  <conditionalFormatting sqref="C19">
    <cfRule type="duplicateValues" dxfId="8" priority="27"/>
  </conditionalFormatting>
  <conditionalFormatting sqref="C21:C22">
    <cfRule type="duplicateValues" dxfId="7" priority="24"/>
  </conditionalFormatting>
  <pageMargins left="0.43" right="0.38" top="0.85" bottom="0.75" header="0.3" footer="0.3"/>
  <pageSetup scale="39" fitToHeight="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E1A1-CA4B-40EE-A41B-33246D55733A}">
  <sheetPr>
    <tabColor theme="9" tint="0.79998168889431442"/>
    <pageSetUpPr fitToPage="1"/>
  </sheetPr>
  <dimension ref="A1:J42"/>
  <sheetViews>
    <sheetView topLeftCell="A12" zoomScale="55" zoomScaleNormal="55" workbookViewId="0">
      <selection activeCell="C25" sqref="C25:H25"/>
    </sheetView>
  </sheetViews>
  <sheetFormatPr defaultColWidth="9.140625" defaultRowHeight="26.25" x14ac:dyDescent="0.25"/>
  <cols>
    <col min="1" max="1" width="30.5703125" style="41" customWidth="1"/>
    <col min="2" max="2" width="41" style="41" customWidth="1"/>
    <col min="3" max="3" width="45.42578125" style="41" customWidth="1"/>
    <col min="4" max="4" width="36.42578125" style="41" customWidth="1"/>
    <col min="5" max="5" width="30" style="41" customWidth="1"/>
    <col min="6" max="6" width="15.28515625" style="41" customWidth="1"/>
    <col min="7" max="7" width="19" style="41" customWidth="1"/>
    <col min="8" max="8" width="31.42578125" style="41" customWidth="1"/>
    <col min="9" max="9" width="9.140625" style="41"/>
    <col min="10" max="10" width="12.85546875" style="41" bestFit="1" customWidth="1"/>
    <col min="11" max="16384" width="9.140625" style="41"/>
  </cols>
  <sheetData>
    <row r="1" spans="1:10" ht="28.5" customHeight="1"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2"/>
    </row>
    <row r="4" spans="1:10" ht="28.5" customHeight="1" x14ac:dyDescent="0.25">
      <c r="A4" s="87" t="s">
        <v>106</v>
      </c>
      <c r="B4" s="87"/>
      <c r="C4" s="87"/>
      <c r="D4" s="87"/>
      <c r="E4" s="87"/>
      <c r="F4" s="87"/>
      <c r="G4" s="87"/>
      <c r="H4" s="87"/>
      <c r="I4" s="43"/>
    </row>
    <row r="5" spans="1:10" x14ac:dyDescent="0.25">
      <c r="A5" s="42"/>
    </row>
    <row r="6" spans="1:10" x14ac:dyDescent="0.25">
      <c r="A6" s="44" t="s">
        <v>144</v>
      </c>
    </row>
    <row r="7" spans="1:10" x14ac:dyDescent="0.25">
      <c r="A7" s="41" t="s">
        <v>83</v>
      </c>
    </row>
    <row r="8" spans="1:10" x14ac:dyDescent="0.25">
      <c r="A8" s="45" t="s">
        <v>84</v>
      </c>
      <c r="B8" s="45" t="s">
        <v>85</v>
      </c>
      <c r="C8" s="46"/>
      <c r="D8" s="88" t="s">
        <v>142</v>
      </c>
      <c r="E8" s="88"/>
      <c r="F8" s="88"/>
    </row>
    <row r="9" spans="1:10" x14ac:dyDescent="0.25">
      <c r="A9" s="45"/>
      <c r="B9" s="45"/>
      <c r="C9" s="46"/>
      <c r="D9" s="45"/>
      <c r="E9" s="45"/>
      <c r="F9" s="45"/>
    </row>
    <row r="10" spans="1:10" ht="28.5" customHeight="1" x14ac:dyDescent="0.25">
      <c r="A10" s="47" t="s">
        <v>100</v>
      </c>
      <c r="B10" s="47"/>
      <c r="D10" s="48"/>
      <c r="E10" s="48"/>
      <c r="F10" s="48"/>
    </row>
    <row r="11" spans="1:10" ht="24.75" customHeight="1" x14ac:dyDescent="0.25">
      <c r="A11" s="41" t="s">
        <v>83</v>
      </c>
    </row>
    <row r="12" spans="1:10" ht="26.25" customHeight="1" x14ac:dyDescent="0.25">
      <c r="A12" s="45" t="s">
        <v>84</v>
      </c>
      <c r="B12" s="45" t="s">
        <v>101</v>
      </c>
      <c r="C12" s="76"/>
      <c r="D12" s="88" t="s">
        <v>105</v>
      </c>
      <c r="E12" s="88"/>
      <c r="F12" s="88"/>
    </row>
    <row r="13" spans="1:10" x14ac:dyDescent="0.25">
      <c r="A13" s="50"/>
    </row>
    <row r="14" spans="1:10" ht="59.25" customHeight="1" x14ac:dyDescent="0.25">
      <c r="A14" s="89" t="s">
        <v>146</v>
      </c>
      <c r="B14" s="89"/>
      <c r="C14" s="89"/>
      <c r="D14" s="89"/>
      <c r="E14" s="89"/>
      <c r="F14" s="89"/>
      <c r="G14" s="89"/>
      <c r="H14" s="89"/>
      <c r="J14" s="51"/>
    </row>
    <row r="15" spans="1:10" s="52" customFormat="1" x14ac:dyDescent="0.25">
      <c r="H15" s="53" t="s">
        <v>92</v>
      </c>
      <c r="J15" s="51"/>
    </row>
    <row r="16" spans="1:10" ht="57" customHeight="1" x14ac:dyDescent="0.25">
      <c r="A16" s="91" t="s">
        <v>107</v>
      </c>
      <c r="B16" s="91" t="s">
        <v>0</v>
      </c>
      <c r="C16" s="91" t="s">
        <v>86</v>
      </c>
      <c r="D16" s="91" t="s">
        <v>130</v>
      </c>
      <c r="E16" s="91" t="s">
        <v>87</v>
      </c>
      <c r="F16" s="90" t="s">
        <v>109</v>
      </c>
      <c r="G16" s="90"/>
      <c r="H16" s="91" t="s">
        <v>108</v>
      </c>
      <c r="J16" s="51"/>
    </row>
    <row r="17" spans="1:9" x14ac:dyDescent="0.25">
      <c r="A17" s="92"/>
      <c r="B17" s="92"/>
      <c r="C17" s="92"/>
      <c r="D17" s="92"/>
      <c r="E17" s="92"/>
      <c r="F17" s="56" t="s">
        <v>88</v>
      </c>
      <c r="G17" s="56" t="s">
        <v>89</v>
      </c>
      <c r="H17" s="92"/>
      <c r="I17" s="51"/>
    </row>
    <row r="18" spans="1:9" ht="52.5" customHeight="1" x14ac:dyDescent="0.25">
      <c r="A18" s="99">
        <v>13111</v>
      </c>
      <c r="B18" s="54">
        <v>1</v>
      </c>
      <c r="C18" s="59" t="s">
        <v>115</v>
      </c>
      <c r="D18" s="60" t="s">
        <v>139</v>
      </c>
      <c r="E18" s="74">
        <v>54552545.509999998</v>
      </c>
      <c r="F18" s="74"/>
      <c r="G18" s="74"/>
      <c r="H18" s="77">
        <f>E18</f>
        <v>54552545.509999998</v>
      </c>
    </row>
    <row r="19" spans="1:9" ht="52.5" customHeight="1" x14ac:dyDescent="0.25">
      <c r="A19" s="100"/>
      <c r="B19" s="54">
        <v>2</v>
      </c>
      <c r="C19" s="59" t="s">
        <v>125</v>
      </c>
      <c r="D19" s="60" t="s">
        <v>139</v>
      </c>
      <c r="E19" s="74">
        <v>26099479043.18</v>
      </c>
      <c r="F19" s="74"/>
      <c r="G19" s="74"/>
      <c r="H19" s="77">
        <f>E19</f>
        <v>26099479043.18</v>
      </c>
    </row>
    <row r="20" spans="1:9" ht="38.25" customHeight="1" x14ac:dyDescent="0.25">
      <c r="A20" s="85" t="s">
        <v>90</v>
      </c>
      <c r="B20" s="85"/>
      <c r="C20" s="85"/>
      <c r="D20" s="85"/>
      <c r="E20" s="78">
        <f>SUM(E18:E19)</f>
        <v>26154031588.689999</v>
      </c>
      <c r="F20" s="79"/>
      <c r="G20" s="79"/>
      <c r="H20" s="78">
        <f>SUM(H18:H19)</f>
        <v>26154031588.689999</v>
      </c>
    </row>
    <row r="21" spans="1:9" ht="105" x14ac:dyDescent="0.25">
      <c r="A21" s="98" t="s">
        <v>110</v>
      </c>
      <c r="B21" s="54">
        <v>1</v>
      </c>
      <c r="C21" s="59" t="s">
        <v>111</v>
      </c>
      <c r="D21" s="55"/>
      <c r="E21" s="80">
        <v>-1025654502.5000007</v>
      </c>
      <c r="F21" s="65"/>
      <c r="G21" s="65"/>
      <c r="H21" s="65">
        <f>E21</f>
        <v>-1025654502.5000007</v>
      </c>
    </row>
    <row r="22" spans="1:9" ht="105" x14ac:dyDescent="0.25">
      <c r="A22" s="96"/>
      <c r="B22" s="54">
        <v>2</v>
      </c>
      <c r="C22" s="59" t="s">
        <v>126</v>
      </c>
      <c r="D22" s="55"/>
      <c r="E22" s="65">
        <v>25714443437.669994</v>
      </c>
      <c r="F22" s="65"/>
      <c r="G22" s="65"/>
      <c r="H22" s="65">
        <f>E22</f>
        <v>25714443437.669994</v>
      </c>
    </row>
    <row r="23" spans="1:9" ht="33.75" customHeight="1" x14ac:dyDescent="0.25">
      <c r="A23" s="85" t="s">
        <v>90</v>
      </c>
      <c r="B23" s="85"/>
      <c r="C23" s="85"/>
      <c r="D23" s="85"/>
      <c r="E23" s="78">
        <f>SUM(E21:E22)</f>
        <v>24688788935.169994</v>
      </c>
      <c r="F23" s="81"/>
      <c r="G23" s="78"/>
      <c r="H23" s="78">
        <f>SUM(H21:H22)</f>
        <v>24688788935.169994</v>
      </c>
    </row>
    <row r="24" spans="1:9" ht="31.5" customHeight="1" x14ac:dyDescent="0.25">
      <c r="A24" s="94" t="s">
        <v>112</v>
      </c>
      <c r="B24" s="94"/>
      <c r="C24" s="94"/>
      <c r="D24" s="94"/>
      <c r="E24" s="78">
        <f>E20+E23</f>
        <v>50842820523.859993</v>
      </c>
      <c r="F24" s="81"/>
      <c r="G24" s="78"/>
      <c r="H24" s="78">
        <f>H20+H23</f>
        <v>50842820523.859993</v>
      </c>
    </row>
    <row r="25" spans="1:9" s="70" customFormat="1" ht="33" customHeight="1" x14ac:dyDescent="0.4">
      <c r="A25" s="90" t="s">
        <v>91</v>
      </c>
      <c r="B25" s="90"/>
      <c r="C25" s="85" t="s">
        <v>151</v>
      </c>
      <c r="D25" s="85"/>
      <c r="E25" s="85"/>
      <c r="F25" s="85"/>
      <c r="G25" s="85"/>
      <c r="H25" s="85"/>
    </row>
    <row r="26" spans="1:9" s="70" customFormat="1" ht="24" customHeight="1" x14ac:dyDescent="0.4">
      <c r="A26" s="68"/>
      <c r="B26" s="69"/>
      <c r="C26" s="69"/>
      <c r="D26" s="69"/>
      <c r="E26" s="69"/>
      <c r="F26" s="69"/>
      <c r="G26" s="69"/>
    </row>
    <row r="27" spans="1:9" ht="54" customHeight="1" x14ac:dyDescent="0.25">
      <c r="A27" s="88" t="s">
        <v>147</v>
      </c>
      <c r="B27" s="88"/>
      <c r="C27" s="88"/>
      <c r="D27" s="88"/>
      <c r="E27" s="88"/>
      <c r="F27" s="88"/>
      <c r="G27" s="88"/>
      <c r="H27" s="88"/>
    </row>
    <row r="28" spans="1:9" ht="41.25" customHeight="1" x14ac:dyDescent="0.25">
      <c r="A28" s="88" t="s">
        <v>143</v>
      </c>
      <c r="B28" s="88"/>
      <c r="C28" s="88"/>
      <c r="D28" s="88"/>
      <c r="E28" s="88"/>
      <c r="F28" s="88"/>
      <c r="G28" s="88"/>
      <c r="H28" s="88"/>
    </row>
    <row r="29" spans="1:9" ht="28.5" customHeight="1" x14ac:dyDescent="0.25">
      <c r="A29" s="93" t="s">
        <v>113</v>
      </c>
      <c r="B29" s="93"/>
      <c r="C29" s="93"/>
      <c r="D29" s="93"/>
      <c r="E29" s="93"/>
      <c r="F29" s="93"/>
      <c r="G29" s="93"/>
      <c r="H29" s="93"/>
    </row>
    <row r="30" spans="1:9" ht="26.25" customHeight="1" x14ac:dyDescent="0.25">
      <c r="A30" s="93" t="s">
        <v>114</v>
      </c>
      <c r="B30" s="93"/>
      <c r="C30" s="93"/>
      <c r="D30" s="93"/>
      <c r="E30" s="93"/>
      <c r="F30" s="93"/>
      <c r="G30" s="93"/>
      <c r="H30" s="93"/>
    </row>
    <row r="31" spans="1:9" ht="27" customHeight="1" x14ac:dyDescent="0.25">
      <c r="B31" s="41" t="s">
        <v>93</v>
      </c>
      <c r="F31" s="71" t="s">
        <v>93</v>
      </c>
    </row>
    <row r="32" spans="1:9" x14ac:dyDescent="0.25">
      <c r="B32" s="72" t="s">
        <v>148</v>
      </c>
      <c r="C32" s="72"/>
      <c r="F32" s="72" t="s">
        <v>127</v>
      </c>
    </row>
    <row r="39" spans="2:8" x14ac:dyDescent="0.25">
      <c r="H39" s="71"/>
    </row>
    <row r="40" spans="2:8" ht="30" customHeight="1" x14ac:dyDescent="0.25"/>
    <row r="41" spans="2:8" ht="30" customHeight="1" x14ac:dyDescent="0.25">
      <c r="B41" s="71" t="s">
        <v>85</v>
      </c>
      <c r="C41" s="71"/>
      <c r="F41" s="71" t="s">
        <v>101</v>
      </c>
    </row>
    <row r="42" spans="2:8" ht="27.75" customHeight="1" x14ac:dyDescent="0.25">
      <c r="G42" s="71"/>
    </row>
  </sheetData>
  <mergeCells count="24">
    <mergeCell ref="D12:F12"/>
    <mergeCell ref="A14:H14"/>
    <mergeCell ref="F16:G16"/>
    <mergeCell ref="A20:D20"/>
    <mergeCell ref="A1:H1"/>
    <mergeCell ref="A2:H2"/>
    <mergeCell ref="A4:H4"/>
    <mergeCell ref="D8:F8"/>
    <mergeCell ref="A16:A17"/>
    <mergeCell ref="B16:B17"/>
    <mergeCell ref="C16:C17"/>
    <mergeCell ref="D16:D17"/>
    <mergeCell ref="E16:E17"/>
    <mergeCell ref="H16:H17"/>
    <mergeCell ref="A28:H28"/>
    <mergeCell ref="A29:H29"/>
    <mergeCell ref="A30:H30"/>
    <mergeCell ref="A21:A22"/>
    <mergeCell ref="A18:A19"/>
    <mergeCell ref="A23:D23"/>
    <mergeCell ref="A24:D24"/>
    <mergeCell ref="A25:B25"/>
    <mergeCell ref="C25:H25"/>
    <mergeCell ref="A27:H27"/>
  </mergeCells>
  <phoneticPr fontId="2" type="noConversion"/>
  <conditionalFormatting sqref="C18:C19">
    <cfRule type="duplicateValues" dxfId="6" priority="2"/>
  </conditionalFormatting>
  <conditionalFormatting sqref="C21:C22">
    <cfRule type="duplicateValues" dxfId="5" priority="30"/>
  </conditionalFormatting>
  <pageMargins left="0.46" right="0.36" top="0.85" bottom="0.75" header="0.3" footer="0.3"/>
  <pageSetup scale="39" fitToHeight="0"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89E0-A285-4F47-9738-17C3D3619EB1}">
  <sheetPr>
    <tabColor theme="9" tint="0.79998168889431442"/>
    <pageSetUpPr fitToPage="1"/>
  </sheetPr>
  <dimension ref="A1:K40"/>
  <sheetViews>
    <sheetView topLeftCell="A2" zoomScale="55" zoomScaleNormal="55" workbookViewId="0">
      <selection activeCell="B30" sqref="B30"/>
    </sheetView>
  </sheetViews>
  <sheetFormatPr defaultColWidth="9.140625" defaultRowHeight="26.25" x14ac:dyDescent="0.25"/>
  <cols>
    <col min="1" max="1" width="30.5703125" style="41" customWidth="1"/>
    <col min="2" max="2" width="41" style="41" customWidth="1"/>
    <col min="3" max="3" width="45.42578125" style="41" customWidth="1"/>
    <col min="4" max="4" width="36.42578125" style="41" customWidth="1"/>
    <col min="5" max="5" width="27.7109375" style="41" customWidth="1"/>
    <col min="6" max="6" width="15.28515625" style="41" customWidth="1"/>
    <col min="7" max="7" width="19" style="41" customWidth="1"/>
    <col min="8" max="8" width="31.42578125" style="41" customWidth="1"/>
    <col min="9" max="9" width="9.140625" style="41"/>
    <col min="10" max="10" width="12.85546875" style="41" bestFit="1" customWidth="1"/>
    <col min="11" max="11" width="9.140625" style="41"/>
    <col min="12" max="12" width="24" style="41" bestFit="1" customWidth="1"/>
    <col min="13" max="16384" width="9.140625" style="41"/>
  </cols>
  <sheetData>
    <row r="1" spans="1:10" ht="28.5" customHeight="1"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2"/>
    </row>
    <row r="4" spans="1:10" ht="28.5" customHeight="1" x14ac:dyDescent="0.25">
      <c r="A4" s="87" t="s">
        <v>106</v>
      </c>
      <c r="B4" s="87"/>
      <c r="C4" s="87"/>
      <c r="D4" s="87"/>
      <c r="E4" s="87"/>
      <c r="F4" s="87"/>
      <c r="G4" s="87"/>
      <c r="H4" s="87"/>
      <c r="I4" s="43"/>
    </row>
    <row r="5" spans="1:10" x14ac:dyDescent="0.25">
      <c r="A5" s="42"/>
    </row>
    <row r="6" spans="1:10" x14ac:dyDescent="0.25">
      <c r="A6" s="44" t="s">
        <v>144</v>
      </c>
    </row>
    <row r="7" spans="1:10" x14ac:dyDescent="0.25">
      <c r="A7" s="41" t="s">
        <v>83</v>
      </c>
    </row>
    <row r="8" spans="1:10" x14ac:dyDescent="0.25">
      <c r="A8" s="45" t="s">
        <v>84</v>
      </c>
      <c r="B8" s="45" t="s">
        <v>85</v>
      </c>
      <c r="C8" s="46"/>
      <c r="D8" s="88" t="s">
        <v>142</v>
      </c>
      <c r="E8" s="88"/>
      <c r="F8" s="88"/>
    </row>
    <row r="9" spans="1:10" x14ac:dyDescent="0.25">
      <c r="A9" s="42"/>
    </row>
    <row r="10" spans="1:10" ht="28.5" customHeight="1" x14ac:dyDescent="0.25">
      <c r="A10" s="47" t="s">
        <v>116</v>
      </c>
      <c r="B10" s="47"/>
      <c r="D10" s="48"/>
      <c r="E10" s="48"/>
      <c r="F10" s="48"/>
    </row>
    <row r="11" spans="1:10" ht="24.75" customHeight="1" x14ac:dyDescent="0.25">
      <c r="A11" s="41" t="s">
        <v>83</v>
      </c>
    </row>
    <row r="12" spans="1:10" ht="26.25" customHeight="1" x14ac:dyDescent="0.25">
      <c r="A12" s="49" t="s">
        <v>128</v>
      </c>
      <c r="B12" s="45" t="s">
        <v>118</v>
      </c>
      <c r="C12" s="46"/>
      <c r="D12" s="52" t="s">
        <v>117</v>
      </c>
      <c r="E12" s="52"/>
      <c r="F12" s="52"/>
      <c r="G12" s="45"/>
    </row>
    <row r="13" spans="1:10" x14ac:dyDescent="0.25">
      <c r="A13" s="50"/>
    </row>
    <row r="14" spans="1:10" ht="49.5" customHeight="1" x14ac:dyDescent="0.25">
      <c r="A14" s="89" t="s">
        <v>146</v>
      </c>
      <c r="B14" s="89"/>
      <c r="C14" s="89"/>
      <c r="D14" s="89"/>
      <c r="E14" s="89"/>
      <c r="F14" s="89"/>
      <c r="G14" s="89"/>
      <c r="H14" s="89"/>
      <c r="J14" s="51"/>
    </row>
    <row r="15" spans="1:10" s="52" customFormat="1" x14ac:dyDescent="0.25">
      <c r="H15" s="53" t="s">
        <v>92</v>
      </c>
      <c r="J15" s="51"/>
    </row>
    <row r="16" spans="1:10" s="52" customFormat="1" ht="51.75" customHeight="1" x14ac:dyDescent="0.25">
      <c r="A16" s="91" t="s">
        <v>107</v>
      </c>
      <c r="B16" s="91" t="s">
        <v>0</v>
      </c>
      <c r="C16" s="91" t="s">
        <v>86</v>
      </c>
      <c r="D16" s="91" t="s">
        <v>130</v>
      </c>
      <c r="E16" s="91" t="s">
        <v>87</v>
      </c>
      <c r="F16" s="90" t="s">
        <v>109</v>
      </c>
      <c r="G16" s="90"/>
      <c r="H16" s="91" t="s">
        <v>108</v>
      </c>
      <c r="J16" s="51"/>
    </row>
    <row r="17" spans="1:11" s="52" customFormat="1" x14ac:dyDescent="0.25">
      <c r="A17" s="92"/>
      <c r="B17" s="92"/>
      <c r="C17" s="92"/>
      <c r="D17" s="92"/>
      <c r="E17" s="92"/>
      <c r="F17" s="56" t="s">
        <v>88</v>
      </c>
      <c r="G17" s="56" t="s">
        <v>89</v>
      </c>
      <c r="H17" s="92"/>
      <c r="J17" s="51"/>
    </row>
    <row r="18" spans="1:11" s="52" customFormat="1" ht="105" x14ac:dyDescent="0.25">
      <c r="A18" s="58">
        <v>13111</v>
      </c>
      <c r="B18" s="54">
        <v>1</v>
      </c>
      <c r="C18" s="59" t="s">
        <v>119</v>
      </c>
      <c r="D18" s="60" t="s">
        <v>120</v>
      </c>
      <c r="E18" s="61">
        <v>347156826.19999999</v>
      </c>
      <c r="F18" s="56"/>
      <c r="G18" s="56"/>
      <c r="H18" s="62">
        <f>E18</f>
        <v>347156826.19999999</v>
      </c>
      <c r="J18" s="51"/>
    </row>
    <row r="19" spans="1:11" s="52" customFormat="1" x14ac:dyDescent="0.25">
      <c r="A19" s="85" t="s">
        <v>90</v>
      </c>
      <c r="B19" s="85"/>
      <c r="C19" s="85"/>
      <c r="D19" s="85"/>
      <c r="E19" s="63">
        <f>SUM(E18:E18)</f>
        <v>347156826.19999999</v>
      </c>
      <c r="F19" s="54"/>
      <c r="G19" s="54"/>
      <c r="H19" s="63">
        <f>SUM(H18:H18)</f>
        <v>347156826.19999999</v>
      </c>
      <c r="J19" s="51"/>
    </row>
    <row r="20" spans="1:11" ht="105" x14ac:dyDescent="0.25">
      <c r="A20" s="64" t="s">
        <v>110</v>
      </c>
      <c r="B20" s="54">
        <v>1</v>
      </c>
      <c r="C20" s="59" t="s">
        <v>119</v>
      </c>
      <c r="D20" s="55"/>
      <c r="E20" s="65">
        <v>1020000</v>
      </c>
      <c r="F20" s="55"/>
      <c r="G20" s="55"/>
      <c r="H20" s="66">
        <f>E20</f>
        <v>1020000</v>
      </c>
      <c r="J20" s="51"/>
    </row>
    <row r="21" spans="1:11" ht="72.75" customHeight="1" x14ac:dyDescent="0.25">
      <c r="A21" s="85" t="s">
        <v>90</v>
      </c>
      <c r="B21" s="85"/>
      <c r="C21" s="85"/>
      <c r="D21" s="85"/>
      <c r="E21" s="63">
        <f>SUM(E20:E20)</f>
        <v>1020000</v>
      </c>
      <c r="F21" s="67"/>
      <c r="G21" s="63"/>
      <c r="H21" s="63">
        <f>SUM(H20:H20)</f>
        <v>1020000</v>
      </c>
      <c r="K21" s="41" t="s">
        <v>80</v>
      </c>
    </row>
    <row r="22" spans="1:11" ht="33.75" customHeight="1" x14ac:dyDescent="0.25">
      <c r="A22" s="94" t="s">
        <v>112</v>
      </c>
      <c r="B22" s="94"/>
      <c r="C22" s="94"/>
      <c r="D22" s="94"/>
      <c r="E22" s="63">
        <f>E19+E21</f>
        <v>348176826.19999999</v>
      </c>
      <c r="F22" s="67"/>
      <c r="G22" s="63"/>
      <c r="H22" s="63">
        <f>H19+H21</f>
        <v>348176826.19999999</v>
      </c>
    </row>
    <row r="23" spans="1:11" ht="31.5" customHeight="1" x14ac:dyDescent="0.25">
      <c r="A23" s="90" t="s">
        <v>91</v>
      </c>
      <c r="B23" s="90"/>
      <c r="C23" s="85" t="s">
        <v>121</v>
      </c>
      <c r="D23" s="85"/>
      <c r="E23" s="85"/>
      <c r="F23" s="85"/>
      <c r="G23" s="85"/>
      <c r="H23" s="85"/>
    </row>
    <row r="24" spans="1:11" s="70" customFormat="1" ht="24" customHeight="1" x14ac:dyDescent="0.4">
      <c r="A24" s="68"/>
      <c r="B24" s="69"/>
      <c r="C24" s="69"/>
      <c r="D24" s="69"/>
      <c r="E24" s="69"/>
      <c r="F24" s="69"/>
      <c r="G24" s="69"/>
    </row>
    <row r="25" spans="1:11" ht="57.75" customHeight="1" x14ac:dyDescent="0.25">
      <c r="A25" s="88" t="s">
        <v>147</v>
      </c>
      <c r="B25" s="88"/>
      <c r="C25" s="88"/>
      <c r="D25" s="88"/>
      <c r="E25" s="88"/>
      <c r="F25" s="88"/>
      <c r="G25" s="88"/>
      <c r="H25" s="88"/>
    </row>
    <row r="26" spans="1:11" ht="41.25" customHeight="1" x14ac:dyDescent="0.25">
      <c r="A26" s="88" t="s">
        <v>143</v>
      </c>
      <c r="B26" s="88"/>
      <c r="C26" s="88"/>
      <c r="D26" s="88"/>
      <c r="E26" s="88"/>
      <c r="F26" s="88"/>
      <c r="G26" s="88"/>
      <c r="H26" s="88"/>
    </row>
    <row r="27" spans="1:11" ht="28.5" customHeight="1" x14ac:dyDescent="0.25">
      <c r="A27" s="93" t="s">
        <v>113</v>
      </c>
      <c r="B27" s="93"/>
      <c r="C27" s="93"/>
      <c r="D27" s="93"/>
      <c r="E27" s="93"/>
      <c r="F27" s="93"/>
      <c r="G27" s="93"/>
      <c r="H27" s="93"/>
    </row>
    <row r="28" spans="1:11" ht="26.25" customHeight="1" x14ac:dyDescent="0.25">
      <c r="A28" s="93" t="s">
        <v>114</v>
      </c>
      <c r="B28" s="93"/>
      <c r="C28" s="93"/>
      <c r="D28" s="93"/>
      <c r="E28" s="93"/>
      <c r="F28" s="93"/>
      <c r="G28" s="93"/>
      <c r="H28" s="93"/>
    </row>
    <row r="29" spans="1:11" ht="27" customHeight="1" x14ac:dyDescent="0.25">
      <c r="B29" s="41" t="s">
        <v>93</v>
      </c>
      <c r="F29" s="71" t="s">
        <v>93</v>
      </c>
    </row>
    <row r="30" spans="1:11" x14ac:dyDescent="0.25">
      <c r="B30" s="72" t="s">
        <v>148</v>
      </c>
      <c r="C30" s="72"/>
      <c r="F30" s="72" t="s">
        <v>137</v>
      </c>
    </row>
    <row r="37" spans="2:8" x14ac:dyDescent="0.25">
      <c r="H37" s="71"/>
    </row>
    <row r="38" spans="2:8" ht="30" customHeight="1" x14ac:dyDescent="0.25"/>
    <row r="39" spans="2:8" x14ac:dyDescent="0.25">
      <c r="B39" s="71" t="s">
        <v>85</v>
      </c>
      <c r="C39" s="71"/>
      <c r="F39" s="71" t="s">
        <v>118</v>
      </c>
    </row>
    <row r="40" spans="2:8" ht="27.75" customHeight="1" x14ac:dyDescent="0.25">
      <c r="G40" s="71"/>
    </row>
  </sheetData>
  <mergeCells count="21">
    <mergeCell ref="A14:H14"/>
    <mergeCell ref="A1:H1"/>
    <mergeCell ref="A2:H2"/>
    <mergeCell ref="A4:H4"/>
    <mergeCell ref="D8:F8"/>
    <mergeCell ref="F16:G16"/>
    <mergeCell ref="A26:H26"/>
    <mergeCell ref="A27:H27"/>
    <mergeCell ref="A28:H28"/>
    <mergeCell ref="A25:H25"/>
    <mergeCell ref="A23:B23"/>
    <mergeCell ref="C23:H23"/>
    <mergeCell ref="A19:D19"/>
    <mergeCell ref="A21:D21"/>
    <mergeCell ref="A22:D22"/>
    <mergeCell ref="A16:A17"/>
    <mergeCell ref="B16:B17"/>
    <mergeCell ref="C16:C17"/>
    <mergeCell ref="D16:D17"/>
    <mergeCell ref="E16:E17"/>
    <mergeCell ref="H16:H17"/>
  </mergeCells>
  <conditionalFormatting sqref="C18">
    <cfRule type="duplicateValues" dxfId="2" priority="22"/>
  </conditionalFormatting>
  <conditionalFormatting sqref="C20">
    <cfRule type="duplicateValues" dxfId="1" priority="23"/>
  </conditionalFormatting>
  <pageMargins left="0.4" right="0.35" top="0.85" bottom="0.75" header="0.3" footer="0.3"/>
  <pageSetup scale="40" fitToHeight="0"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A871-0E80-46B1-B634-8484B2A5449D}">
  <sheetPr>
    <tabColor theme="9" tint="0.79998168889431442"/>
    <pageSetUpPr fitToPage="1"/>
  </sheetPr>
  <dimension ref="A1:J40"/>
  <sheetViews>
    <sheetView topLeftCell="A9" zoomScale="70" zoomScaleNormal="70" workbookViewId="0">
      <selection activeCell="C24" sqref="C24:H24"/>
    </sheetView>
  </sheetViews>
  <sheetFormatPr defaultColWidth="9.140625" defaultRowHeight="26.25" x14ac:dyDescent="0.25"/>
  <cols>
    <col min="1" max="1" width="30.5703125" style="41" customWidth="1"/>
    <col min="2" max="2" width="41" style="41" customWidth="1"/>
    <col min="3" max="3" width="45.42578125" style="41" customWidth="1"/>
    <col min="4" max="4" width="36.42578125" style="41" customWidth="1"/>
    <col min="5" max="5" width="27.7109375" style="41" customWidth="1"/>
    <col min="6" max="6" width="15.28515625" style="41" customWidth="1"/>
    <col min="7" max="7" width="19" style="41" customWidth="1"/>
    <col min="8" max="8" width="31.42578125" style="41" customWidth="1"/>
    <col min="9" max="9" width="9.140625" style="41"/>
    <col min="10" max="10" width="12.85546875" style="41" bestFit="1" customWidth="1"/>
    <col min="11" max="16384" width="9.140625" style="41"/>
  </cols>
  <sheetData>
    <row r="1" spans="1:10" ht="28.5" customHeight="1"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2"/>
    </row>
    <row r="4" spans="1:10" ht="28.5" customHeight="1" x14ac:dyDescent="0.25">
      <c r="A4" s="87" t="s">
        <v>106</v>
      </c>
      <c r="B4" s="87"/>
      <c r="C4" s="87"/>
      <c r="D4" s="87"/>
      <c r="E4" s="87"/>
      <c r="F4" s="87"/>
      <c r="G4" s="87"/>
      <c r="H4" s="87"/>
      <c r="I4" s="43"/>
    </row>
    <row r="5" spans="1:10" x14ac:dyDescent="0.25">
      <c r="A5" s="42"/>
    </row>
    <row r="6" spans="1:10" x14ac:dyDescent="0.25">
      <c r="A6" s="44" t="s">
        <v>144</v>
      </c>
    </row>
    <row r="7" spans="1:10" x14ac:dyDescent="0.25">
      <c r="A7" s="41" t="s">
        <v>83</v>
      </c>
    </row>
    <row r="8" spans="1:10" x14ac:dyDescent="0.25">
      <c r="A8" s="45" t="s">
        <v>84</v>
      </c>
      <c r="B8" s="45" t="s">
        <v>85</v>
      </c>
      <c r="C8" s="46"/>
      <c r="D8" s="88" t="s">
        <v>142</v>
      </c>
      <c r="E8" s="88"/>
      <c r="F8" s="88"/>
    </row>
    <row r="9" spans="1:10" x14ac:dyDescent="0.25">
      <c r="A9" s="42"/>
    </row>
    <row r="10" spans="1:10" ht="28.5" customHeight="1" x14ac:dyDescent="0.25">
      <c r="A10" s="47" t="s">
        <v>96</v>
      </c>
      <c r="B10" s="47"/>
      <c r="D10" s="48"/>
      <c r="E10" s="48"/>
      <c r="F10" s="48"/>
    </row>
    <row r="11" spans="1:10" ht="24.75" customHeight="1" x14ac:dyDescent="0.25">
      <c r="A11" s="41" t="s">
        <v>83</v>
      </c>
    </row>
    <row r="12" spans="1:10" ht="26.25" customHeight="1" x14ac:dyDescent="0.25">
      <c r="A12" s="45" t="s">
        <v>128</v>
      </c>
      <c r="B12" s="45" t="s">
        <v>140</v>
      </c>
      <c r="C12" s="46"/>
      <c r="D12" s="88" t="s">
        <v>136</v>
      </c>
      <c r="E12" s="88"/>
      <c r="F12" s="88"/>
    </row>
    <row r="13" spans="1:10" x14ac:dyDescent="0.25">
      <c r="A13" s="50"/>
    </row>
    <row r="14" spans="1:10" ht="49.5" customHeight="1" x14ac:dyDescent="0.25">
      <c r="A14" s="89" t="s">
        <v>146</v>
      </c>
      <c r="B14" s="89"/>
      <c r="C14" s="89"/>
      <c r="D14" s="89"/>
      <c r="E14" s="89"/>
      <c r="F14" s="89"/>
      <c r="G14" s="89"/>
      <c r="H14" s="89"/>
      <c r="J14" s="51"/>
    </row>
    <row r="15" spans="1:10" s="52" customFormat="1" x14ac:dyDescent="0.25">
      <c r="H15" s="53" t="s">
        <v>92</v>
      </c>
      <c r="J15" s="51"/>
    </row>
    <row r="16" spans="1:10" ht="57" customHeight="1" x14ac:dyDescent="0.25">
      <c r="A16" s="91" t="s">
        <v>107</v>
      </c>
      <c r="B16" s="91" t="s">
        <v>0</v>
      </c>
      <c r="C16" s="91" t="s">
        <v>86</v>
      </c>
      <c r="D16" s="91" t="s">
        <v>130</v>
      </c>
      <c r="E16" s="91" t="s">
        <v>87</v>
      </c>
      <c r="F16" s="90" t="s">
        <v>109</v>
      </c>
      <c r="G16" s="90"/>
      <c r="H16" s="91" t="s">
        <v>108</v>
      </c>
      <c r="J16" s="51"/>
    </row>
    <row r="17" spans="1:9" x14ac:dyDescent="0.25">
      <c r="A17" s="92"/>
      <c r="B17" s="92"/>
      <c r="C17" s="92"/>
      <c r="D17" s="92"/>
      <c r="E17" s="92"/>
      <c r="F17" s="56" t="s">
        <v>88</v>
      </c>
      <c r="G17" s="56" t="s">
        <v>89</v>
      </c>
      <c r="H17" s="92"/>
      <c r="I17" s="51"/>
    </row>
    <row r="18" spans="1:9" ht="78.75" x14ac:dyDescent="0.25">
      <c r="A18" s="73">
        <v>13111</v>
      </c>
      <c r="B18" s="56">
        <v>1</v>
      </c>
      <c r="C18" s="59" t="s">
        <v>125</v>
      </c>
      <c r="D18" s="60" t="s">
        <v>124</v>
      </c>
      <c r="E18" s="74">
        <v>2944288138</v>
      </c>
      <c r="F18" s="56"/>
      <c r="G18" s="56"/>
      <c r="H18" s="62">
        <f>E18</f>
        <v>2944288138</v>
      </c>
    </row>
    <row r="19" spans="1:9" ht="38.25" customHeight="1" x14ac:dyDescent="0.25">
      <c r="A19" s="101" t="s">
        <v>90</v>
      </c>
      <c r="B19" s="101"/>
      <c r="C19" s="101"/>
      <c r="D19" s="101"/>
      <c r="E19" s="63">
        <f>SUM(E18:E18)</f>
        <v>2944288138</v>
      </c>
      <c r="F19" s="54"/>
      <c r="G19" s="54"/>
      <c r="H19" s="63">
        <f>SUM(H18:H18)</f>
        <v>2944288138</v>
      </c>
    </row>
    <row r="20" spans="1:9" ht="78.75" x14ac:dyDescent="0.25">
      <c r="A20" s="95" t="s">
        <v>110</v>
      </c>
      <c r="B20" s="56">
        <v>1</v>
      </c>
      <c r="C20" s="59" t="s">
        <v>111</v>
      </c>
      <c r="D20" s="83"/>
      <c r="E20" s="75">
        <v>10792087</v>
      </c>
      <c r="F20" s="54"/>
      <c r="G20" s="54"/>
      <c r="H20" s="66">
        <f>E20</f>
        <v>10792087</v>
      </c>
    </row>
    <row r="21" spans="1:9" ht="78.75" x14ac:dyDescent="0.25">
      <c r="A21" s="96"/>
      <c r="B21" s="56">
        <v>2</v>
      </c>
      <c r="C21" s="59" t="s">
        <v>126</v>
      </c>
      <c r="D21" s="55"/>
      <c r="E21" s="65">
        <v>267647885</v>
      </c>
      <c r="F21" s="55"/>
      <c r="G21" s="55"/>
      <c r="H21" s="66">
        <f>E21</f>
        <v>267647885</v>
      </c>
    </row>
    <row r="22" spans="1:9" ht="33.75" customHeight="1" x14ac:dyDescent="0.25">
      <c r="A22" s="85" t="s">
        <v>90</v>
      </c>
      <c r="B22" s="85"/>
      <c r="C22" s="85"/>
      <c r="D22" s="85"/>
      <c r="E22" s="63">
        <f>SUM(E20:E21)</f>
        <v>278439972</v>
      </c>
      <c r="F22" s="67"/>
      <c r="G22" s="63"/>
      <c r="H22" s="63">
        <f>SUM(H20:H21)</f>
        <v>278439972</v>
      </c>
    </row>
    <row r="23" spans="1:9" ht="31.5" customHeight="1" x14ac:dyDescent="0.25">
      <c r="A23" s="94" t="s">
        <v>112</v>
      </c>
      <c r="B23" s="94"/>
      <c r="C23" s="94"/>
      <c r="D23" s="94"/>
      <c r="E23" s="63">
        <f>E19+E22</f>
        <v>3222728110</v>
      </c>
      <c r="F23" s="67"/>
      <c r="G23" s="63"/>
      <c r="H23" s="63">
        <f>H19+H22</f>
        <v>3222728110</v>
      </c>
    </row>
    <row r="24" spans="1:9" s="70" customFormat="1" ht="33" customHeight="1" x14ac:dyDescent="0.4">
      <c r="A24" s="90" t="s">
        <v>91</v>
      </c>
      <c r="B24" s="90"/>
      <c r="C24" s="85" t="s">
        <v>150</v>
      </c>
      <c r="D24" s="85"/>
      <c r="E24" s="85"/>
      <c r="F24" s="85"/>
      <c r="G24" s="85"/>
      <c r="H24" s="85"/>
    </row>
    <row r="25" spans="1:9" s="70" customFormat="1" ht="24" customHeight="1" x14ac:dyDescent="0.4">
      <c r="A25" s="68"/>
      <c r="B25" s="69"/>
      <c r="C25" s="69"/>
      <c r="D25" s="69"/>
      <c r="E25" s="69"/>
      <c r="F25" s="69"/>
      <c r="G25" s="69"/>
    </row>
    <row r="26" spans="1:9" ht="58.5" customHeight="1" x14ac:dyDescent="0.25">
      <c r="A26" s="88" t="s">
        <v>147</v>
      </c>
      <c r="B26" s="88"/>
      <c r="C26" s="88"/>
      <c r="D26" s="88"/>
      <c r="E26" s="88"/>
      <c r="F26" s="88"/>
      <c r="G26" s="88"/>
      <c r="H26" s="88"/>
    </row>
    <row r="27" spans="1:9" ht="41.25" customHeight="1" x14ac:dyDescent="0.25">
      <c r="A27" s="88" t="s">
        <v>143</v>
      </c>
      <c r="B27" s="88"/>
      <c r="C27" s="88"/>
      <c r="D27" s="88"/>
      <c r="E27" s="88"/>
      <c r="F27" s="88"/>
      <c r="G27" s="88"/>
      <c r="H27" s="88"/>
    </row>
    <row r="28" spans="1:9" ht="28.5" customHeight="1" x14ac:dyDescent="0.25">
      <c r="A28" s="93" t="s">
        <v>113</v>
      </c>
      <c r="B28" s="93"/>
      <c r="C28" s="93"/>
      <c r="D28" s="93"/>
      <c r="E28" s="93"/>
      <c r="F28" s="93"/>
      <c r="G28" s="93"/>
      <c r="H28" s="93"/>
    </row>
    <row r="29" spans="1:9" ht="26.25" customHeight="1" x14ac:dyDescent="0.25">
      <c r="A29" s="93" t="s">
        <v>114</v>
      </c>
      <c r="B29" s="93"/>
      <c r="C29" s="93"/>
      <c r="D29" s="93"/>
      <c r="E29" s="93"/>
      <c r="F29" s="93"/>
      <c r="G29" s="93"/>
      <c r="H29" s="93"/>
    </row>
    <row r="30" spans="1:9" ht="27" customHeight="1" x14ac:dyDescent="0.25">
      <c r="B30" s="41" t="s">
        <v>93</v>
      </c>
      <c r="F30" s="71" t="s">
        <v>93</v>
      </c>
    </row>
    <row r="31" spans="1:9" x14ac:dyDescent="0.25">
      <c r="B31" s="72" t="s">
        <v>148</v>
      </c>
      <c r="C31" s="72"/>
      <c r="F31" s="72" t="s">
        <v>135</v>
      </c>
    </row>
    <row r="37" spans="2:8" x14ac:dyDescent="0.25">
      <c r="H37" s="71"/>
    </row>
    <row r="38" spans="2:8" ht="30" customHeight="1" x14ac:dyDescent="0.25"/>
    <row r="39" spans="2:8" ht="31.5" customHeight="1" x14ac:dyDescent="0.25">
      <c r="B39" s="71" t="s">
        <v>85</v>
      </c>
      <c r="C39" s="71"/>
      <c r="F39" s="71" t="s">
        <v>140</v>
      </c>
    </row>
    <row r="40" spans="2:8" ht="27.75" customHeight="1" x14ac:dyDescent="0.25">
      <c r="G40" s="71"/>
    </row>
  </sheetData>
  <mergeCells count="23">
    <mergeCell ref="A1:H1"/>
    <mergeCell ref="A2:H2"/>
    <mergeCell ref="A4:H4"/>
    <mergeCell ref="D8:F8"/>
    <mergeCell ref="A28:H28"/>
    <mergeCell ref="D12:F12"/>
    <mergeCell ref="A14:H14"/>
    <mergeCell ref="F16:G16"/>
    <mergeCell ref="A19:D19"/>
    <mergeCell ref="A16:A17"/>
    <mergeCell ref="B16:B17"/>
    <mergeCell ref="C16:C17"/>
    <mergeCell ref="D16:D17"/>
    <mergeCell ref="E16:E17"/>
    <mergeCell ref="H16:H17"/>
    <mergeCell ref="A29:H29"/>
    <mergeCell ref="A20:A21"/>
    <mergeCell ref="A22:D22"/>
    <mergeCell ref="A23:D23"/>
    <mergeCell ref="A24:B24"/>
    <mergeCell ref="C24:H24"/>
    <mergeCell ref="A26:H26"/>
    <mergeCell ref="A27:H27"/>
  </mergeCells>
  <phoneticPr fontId="2" type="noConversion"/>
  <conditionalFormatting sqref="C18">
    <cfRule type="duplicateValues" dxfId="4" priority="28"/>
  </conditionalFormatting>
  <conditionalFormatting sqref="C20:C21">
    <cfRule type="duplicateValues" dxfId="3" priority="21"/>
  </conditionalFormatting>
  <pageMargins left="0.43" right="0.38" top="0.85" bottom="0.75" header="0.3" footer="0.3"/>
  <pageSetup scale="39" fitToHeight="0"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D337-B4AB-4E84-8104-0D188E8A3392}">
  <sheetPr>
    <tabColor theme="9" tint="0.79998168889431442"/>
    <pageSetUpPr fitToPage="1"/>
  </sheetPr>
  <dimension ref="A1:K40"/>
  <sheetViews>
    <sheetView topLeftCell="A14" zoomScale="70" zoomScaleNormal="70" workbookViewId="0">
      <selection activeCell="J26" sqref="J26"/>
    </sheetView>
  </sheetViews>
  <sheetFormatPr defaultColWidth="9.140625" defaultRowHeight="26.25" x14ac:dyDescent="0.25"/>
  <cols>
    <col min="1" max="1" width="30.5703125" style="41" customWidth="1"/>
    <col min="2" max="2" width="41" style="41" customWidth="1"/>
    <col min="3" max="3" width="45.42578125" style="41" customWidth="1"/>
    <col min="4" max="4" width="36.42578125" style="41" customWidth="1"/>
    <col min="5" max="5" width="27.7109375" style="41" customWidth="1"/>
    <col min="6" max="6" width="15.28515625" style="41" customWidth="1"/>
    <col min="7" max="7" width="19" style="41" customWidth="1"/>
    <col min="8" max="8" width="31.42578125" style="41" customWidth="1"/>
    <col min="9" max="9" width="9.140625" style="41"/>
    <col min="10" max="10" width="12.85546875" style="41" bestFit="1" customWidth="1"/>
    <col min="11" max="16384" width="9.140625" style="41"/>
  </cols>
  <sheetData>
    <row r="1" spans="1:10" ht="28.5" customHeight="1" x14ac:dyDescent="0.25">
      <c r="A1" s="86" t="s">
        <v>81</v>
      </c>
      <c r="B1" s="86"/>
      <c r="C1" s="86"/>
      <c r="D1" s="86"/>
      <c r="E1" s="86"/>
      <c r="F1" s="86"/>
      <c r="G1" s="86"/>
      <c r="H1" s="86"/>
    </row>
    <row r="2" spans="1:10" x14ac:dyDescent="0.25">
      <c r="A2" s="86" t="s">
        <v>82</v>
      </c>
      <c r="B2" s="86"/>
      <c r="C2" s="86"/>
      <c r="D2" s="86"/>
      <c r="E2" s="86"/>
      <c r="F2" s="86"/>
      <c r="G2" s="86"/>
      <c r="H2" s="86"/>
    </row>
    <row r="3" spans="1:10" x14ac:dyDescent="0.25">
      <c r="A3" s="42"/>
    </row>
    <row r="4" spans="1:10" ht="28.5" customHeight="1" x14ac:dyDescent="0.25">
      <c r="A4" s="87" t="s">
        <v>106</v>
      </c>
      <c r="B4" s="87"/>
      <c r="C4" s="87"/>
      <c r="D4" s="87"/>
      <c r="E4" s="87"/>
      <c r="F4" s="87"/>
      <c r="G4" s="87"/>
      <c r="H4" s="87"/>
      <c r="I4" s="43"/>
    </row>
    <row r="5" spans="1:10" x14ac:dyDescent="0.25">
      <c r="A5" s="42"/>
    </row>
    <row r="6" spans="1:10" x14ac:dyDescent="0.25">
      <c r="A6" s="44" t="s">
        <v>144</v>
      </c>
    </row>
    <row r="7" spans="1:10" x14ac:dyDescent="0.25">
      <c r="A7" s="41" t="s">
        <v>83</v>
      </c>
    </row>
    <row r="8" spans="1:10" x14ac:dyDescent="0.25">
      <c r="A8" s="45" t="s">
        <v>84</v>
      </c>
      <c r="B8" s="45" t="s">
        <v>85</v>
      </c>
      <c r="C8" s="46"/>
      <c r="D8" s="88" t="s">
        <v>142</v>
      </c>
      <c r="E8" s="88"/>
      <c r="F8" s="88"/>
    </row>
    <row r="9" spans="1:10" x14ac:dyDescent="0.25">
      <c r="A9" s="42"/>
    </row>
    <row r="10" spans="1:10" ht="28.5" customHeight="1" x14ac:dyDescent="0.25">
      <c r="A10" s="47" t="s">
        <v>99</v>
      </c>
      <c r="D10" s="48"/>
      <c r="E10" s="48"/>
      <c r="F10" s="48"/>
    </row>
    <row r="11" spans="1:10" ht="24.75" customHeight="1" x14ac:dyDescent="0.25">
      <c r="A11" s="41" t="s">
        <v>83</v>
      </c>
    </row>
    <row r="12" spans="1:10" ht="26.25" customHeight="1" x14ac:dyDescent="0.25">
      <c r="A12" s="49" t="s">
        <v>128</v>
      </c>
      <c r="B12" s="82" t="s">
        <v>98</v>
      </c>
      <c r="C12" s="46"/>
      <c r="D12" s="88" t="s">
        <v>145</v>
      </c>
      <c r="E12" s="88"/>
      <c r="F12" s="88"/>
    </row>
    <row r="13" spans="1:10" x14ac:dyDescent="0.25">
      <c r="A13" s="50"/>
    </row>
    <row r="14" spans="1:10" ht="49.5" customHeight="1" x14ac:dyDescent="0.25">
      <c r="A14" s="89" t="s">
        <v>146</v>
      </c>
      <c r="B14" s="89"/>
      <c r="C14" s="89"/>
      <c r="D14" s="89"/>
      <c r="E14" s="89"/>
      <c r="F14" s="89"/>
      <c r="G14" s="89"/>
      <c r="H14" s="89"/>
      <c r="J14" s="51"/>
    </row>
    <row r="15" spans="1:10" s="52" customFormat="1" x14ac:dyDescent="0.25">
      <c r="H15" s="53" t="s">
        <v>92</v>
      </c>
      <c r="J15" s="51"/>
    </row>
    <row r="16" spans="1:10" ht="57" customHeight="1" x14ac:dyDescent="0.25">
      <c r="A16" s="91" t="s">
        <v>107</v>
      </c>
      <c r="B16" s="91" t="s">
        <v>0</v>
      </c>
      <c r="C16" s="91" t="s">
        <v>86</v>
      </c>
      <c r="D16" s="91" t="s">
        <v>130</v>
      </c>
      <c r="E16" s="91" t="s">
        <v>87</v>
      </c>
      <c r="F16" s="90" t="s">
        <v>109</v>
      </c>
      <c r="G16" s="90"/>
      <c r="H16" s="91" t="s">
        <v>108</v>
      </c>
      <c r="J16" s="51"/>
    </row>
    <row r="17" spans="1:11" x14ac:dyDescent="0.25">
      <c r="A17" s="92"/>
      <c r="B17" s="92"/>
      <c r="C17" s="92"/>
      <c r="D17" s="92"/>
      <c r="E17" s="92"/>
      <c r="F17" s="56" t="s">
        <v>88</v>
      </c>
      <c r="G17" s="56" t="s">
        <v>89</v>
      </c>
      <c r="H17" s="92"/>
      <c r="I17" s="51"/>
    </row>
    <row r="18" spans="1:11" x14ac:dyDescent="0.25">
      <c r="A18" s="99">
        <v>13111</v>
      </c>
      <c r="B18" s="54">
        <v>1</v>
      </c>
      <c r="C18" s="59" t="s">
        <v>115</v>
      </c>
      <c r="D18" s="60"/>
      <c r="E18" s="74">
        <v>-4435810</v>
      </c>
      <c r="F18" s="56"/>
      <c r="G18" s="56"/>
      <c r="H18" s="62">
        <f>E18</f>
        <v>-4435810</v>
      </c>
    </row>
    <row r="19" spans="1:11" ht="78.75" x14ac:dyDescent="0.25">
      <c r="A19" s="100"/>
      <c r="B19" s="54">
        <v>2</v>
      </c>
      <c r="C19" s="59" t="s">
        <v>125</v>
      </c>
      <c r="D19" s="60" t="s">
        <v>124</v>
      </c>
      <c r="E19" s="74">
        <v>13760190756</v>
      </c>
      <c r="F19" s="56"/>
      <c r="G19" s="56"/>
      <c r="H19" s="62">
        <f>E19</f>
        <v>13760190756</v>
      </c>
    </row>
    <row r="20" spans="1:11" ht="38.25" customHeight="1" x14ac:dyDescent="0.25">
      <c r="A20" s="85" t="s">
        <v>90</v>
      </c>
      <c r="B20" s="85"/>
      <c r="C20" s="85"/>
      <c r="D20" s="85"/>
      <c r="E20" s="63">
        <f>SUM(E18:E19)</f>
        <v>13755754946</v>
      </c>
      <c r="F20" s="54"/>
      <c r="G20" s="54"/>
      <c r="H20" s="63">
        <f>SUM(H18:H19)</f>
        <v>13755754946</v>
      </c>
    </row>
    <row r="21" spans="1:11" ht="78.75" x14ac:dyDescent="0.25">
      <c r="A21" s="97" t="s">
        <v>110</v>
      </c>
      <c r="B21" s="54">
        <v>1</v>
      </c>
      <c r="C21" s="59" t="s">
        <v>111</v>
      </c>
      <c r="D21" s="55"/>
      <c r="E21" s="65">
        <v>31095262434</v>
      </c>
      <c r="F21" s="55"/>
      <c r="G21" s="55"/>
      <c r="H21" s="66">
        <f>E21</f>
        <v>31095262434</v>
      </c>
    </row>
    <row r="22" spans="1:11" ht="78.75" x14ac:dyDescent="0.25">
      <c r="A22" s="97"/>
      <c r="B22" s="54">
        <v>2</v>
      </c>
      <c r="C22" s="59" t="s">
        <v>126</v>
      </c>
      <c r="D22" s="55"/>
      <c r="E22" s="65">
        <v>1898257489</v>
      </c>
      <c r="F22" s="55"/>
      <c r="G22" s="55"/>
      <c r="H22" s="66">
        <f>E22</f>
        <v>1898257489</v>
      </c>
      <c r="K22" s="41" t="s">
        <v>80</v>
      </c>
    </row>
    <row r="23" spans="1:11" ht="33.75" customHeight="1" x14ac:dyDescent="0.25">
      <c r="A23" s="85" t="s">
        <v>90</v>
      </c>
      <c r="B23" s="85"/>
      <c r="C23" s="85"/>
      <c r="D23" s="85"/>
      <c r="E23" s="63">
        <f>SUM(E21:E22)</f>
        <v>32993519923</v>
      </c>
      <c r="F23" s="67"/>
      <c r="G23" s="63"/>
      <c r="H23" s="63">
        <f>SUM(H21:H22)</f>
        <v>32993519923</v>
      </c>
    </row>
    <row r="24" spans="1:11" ht="31.5" customHeight="1" x14ac:dyDescent="0.25">
      <c r="A24" s="94" t="s">
        <v>112</v>
      </c>
      <c r="B24" s="94"/>
      <c r="C24" s="94"/>
      <c r="D24" s="94"/>
      <c r="E24" s="63">
        <f>E20+E23</f>
        <v>46749274869</v>
      </c>
      <c r="F24" s="67"/>
      <c r="G24" s="63"/>
      <c r="H24" s="63">
        <f>H20+H23</f>
        <v>46749274869</v>
      </c>
    </row>
    <row r="25" spans="1:11" s="70" customFormat="1" ht="60" customHeight="1" x14ac:dyDescent="0.4">
      <c r="A25" s="90" t="s">
        <v>91</v>
      </c>
      <c r="B25" s="90"/>
      <c r="C25" s="85" t="s">
        <v>149</v>
      </c>
      <c r="D25" s="85"/>
      <c r="E25" s="85"/>
      <c r="F25" s="85"/>
      <c r="G25" s="85"/>
      <c r="H25" s="85"/>
    </row>
    <row r="26" spans="1:11" s="70" customFormat="1" ht="24" customHeight="1" x14ac:dyDescent="0.4">
      <c r="A26" s="68"/>
      <c r="B26" s="69"/>
      <c r="C26" s="69"/>
      <c r="D26" s="69"/>
      <c r="E26" s="69"/>
      <c r="F26" s="69"/>
      <c r="G26" s="69"/>
    </row>
    <row r="27" spans="1:11" ht="55.5" customHeight="1" x14ac:dyDescent="0.25">
      <c r="A27" s="88" t="s">
        <v>147</v>
      </c>
      <c r="B27" s="88"/>
      <c r="C27" s="88"/>
      <c r="D27" s="88"/>
      <c r="E27" s="88"/>
      <c r="F27" s="88"/>
      <c r="G27" s="88"/>
      <c r="H27" s="88"/>
    </row>
    <row r="28" spans="1:11" ht="41.25" customHeight="1" x14ac:dyDescent="0.25">
      <c r="A28" s="88" t="s">
        <v>143</v>
      </c>
      <c r="B28" s="88"/>
      <c r="C28" s="88"/>
      <c r="D28" s="88"/>
      <c r="E28" s="88"/>
      <c r="F28" s="88"/>
      <c r="G28" s="88"/>
      <c r="H28" s="88"/>
    </row>
    <row r="29" spans="1:11" ht="28.5" customHeight="1" x14ac:dyDescent="0.25">
      <c r="A29" s="93" t="s">
        <v>113</v>
      </c>
      <c r="B29" s="93"/>
      <c r="C29" s="93"/>
      <c r="D29" s="93"/>
      <c r="E29" s="93"/>
      <c r="F29" s="93"/>
      <c r="G29" s="93"/>
      <c r="H29" s="93"/>
    </row>
    <row r="30" spans="1:11" ht="26.25" customHeight="1" x14ac:dyDescent="0.25">
      <c r="A30" s="93" t="s">
        <v>114</v>
      </c>
      <c r="B30" s="93"/>
      <c r="C30" s="93"/>
      <c r="D30" s="93"/>
      <c r="E30" s="93"/>
      <c r="F30" s="93"/>
      <c r="G30" s="93"/>
      <c r="H30" s="93"/>
    </row>
    <row r="31" spans="1:11" ht="27" customHeight="1" x14ac:dyDescent="0.25">
      <c r="B31" s="41" t="s">
        <v>93</v>
      </c>
      <c r="F31" s="71" t="s">
        <v>93</v>
      </c>
    </row>
    <row r="32" spans="1:11" x14ac:dyDescent="0.25">
      <c r="B32" s="72" t="s">
        <v>148</v>
      </c>
      <c r="C32" s="72"/>
      <c r="F32" s="72" t="s">
        <v>138</v>
      </c>
    </row>
    <row r="37" spans="2:8" x14ac:dyDescent="0.25">
      <c r="H37" s="71"/>
    </row>
    <row r="38" spans="2:8" ht="30" customHeight="1" x14ac:dyDescent="0.25"/>
    <row r="39" spans="2:8" x14ac:dyDescent="0.25">
      <c r="B39" s="71" t="s">
        <v>85</v>
      </c>
      <c r="C39" s="71"/>
      <c r="F39" s="71" t="s">
        <v>98</v>
      </c>
    </row>
    <row r="40" spans="2:8" ht="27.75" customHeight="1" x14ac:dyDescent="0.25">
      <c r="G40" s="71"/>
    </row>
  </sheetData>
  <mergeCells count="24">
    <mergeCell ref="A28:H28"/>
    <mergeCell ref="A29:H29"/>
    <mergeCell ref="A30:H30"/>
    <mergeCell ref="A21:A22"/>
    <mergeCell ref="A23:D23"/>
    <mergeCell ref="A24:D24"/>
    <mergeCell ref="A25:B25"/>
    <mergeCell ref="C25:H25"/>
    <mergeCell ref="A27:H27"/>
    <mergeCell ref="A20:D20"/>
    <mergeCell ref="A1:H1"/>
    <mergeCell ref="A2:H2"/>
    <mergeCell ref="A4:H4"/>
    <mergeCell ref="D12:F12"/>
    <mergeCell ref="A14:H14"/>
    <mergeCell ref="F16:G16"/>
    <mergeCell ref="D8:F8"/>
    <mergeCell ref="A18:A19"/>
    <mergeCell ref="A16:A17"/>
    <mergeCell ref="B16:B17"/>
    <mergeCell ref="C16:C17"/>
    <mergeCell ref="D16:D17"/>
    <mergeCell ref="E16:E17"/>
    <mergeCell ref="H16:H17"/>
  </mergeCells>
  <phoneticPr fontId="2" type="noConversion"/>
  <conditionalFormatting sqref="C18:C19 C21:C22">
    <cfRule type="duplicateValues" dxfId="0" priority="25"/>
  </conditionalFormatting>
  <pageMargins left="0.45" right="0.32" top="0.85" bottom="0.75" header="0.3" footer="0.3"/>
  <pageSetup scale="39" fitToHeight="0"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CF278-6498-48FF-9832-7D83FAAC1185}">
  <sheetPr codeName="Sheet1"/>
  <dimension ref="A1:N13"/>
  <sheetViews>
    <sheetView workbookViewId="0">
      <selection activeCell="B7" sqref="B7"/>
    </sheetView>
  </sheetViews>
  <sheetFormatPr defaultRowHeight="17.25" x14ac:dyDescent="0.3"/>
  <cols>
    <col min="1" max="1" width="33.42578125" style="7" bestFit="1" customWidth="1"/>
    <col min="2" max="2" width="18.140625" style="7" customWidth="1"/>
    <col min="3" max="3" width="11.5703125" style="7" customWidth="1"/>
    <col min="4" max="4" width="10.140625" style="7" customWidth="1"/>
    <col min="5" max="5" width="8.85546875" style="7" customWidth="1"/>
    <col min="6" max="6" width="11" style="7" bestFit="1" customWidth="1"/>
    <col min="7" max="7" width="18.140625" style="7" bestFit="1" customWidth="1"/>
    <col min="8" max="8" width="12.42578125" style="7" customWidth="1"/>
    <col min="9" max="9" width="12.5703125" style="7" customWidth="1"/>
    <col min="10" max="10" width="11.7109375" style="7" customWidth="1"/>
    <col min="11" max="11" width="13.42578125" style="7" customWidth="1"/>
    <col min="12" max="12" width="13.28515625" style="7" customWidth="1"/>
    <col min="13" max="13" width="13.85546875" style="7" customWidth="1"/>
    <col min="14" max="14" width="13.140625" style="7" bestFit="1" customWidth="1"/>
    <col min="15" max="15" width="11" style="7" customWidth="1"/>
    <col min="16" max="16384" width="9.140625" style="7"/>
  </cols>
  <sheetData>
    <row r="1" spans="1:14" ht="18" thickBot="1" x14ac:dyDescent="0.35">
      <c r="A1" s="1" t="s">
        <v>66</v>
      </c>
      <c r="B1" s="4"/>
      <c r="C1" s="102">
        <v>355220572.52999997</v>
      </c>
      <c r="D1" s="103"/>
      <c r="E1" s="104"/>
      <c r="F1" s="5" t="s">
        <v>67</v>
      </c>
      <c r="G1" s="1" t="s">
        <v>68</v>
      </c>
      <c r="H1" s="6"/>
      <c r="I1" s="6"/>
      <c r="J1" s="6"/>
      <c r="K1" s="6"/>
      <c r="L1" s="6"/>
      <c r="M1" s="6"/>
      <c r="N1" s="6"/>
    </row>
    <row r="2" spans="1:14" ht="18" thickTop="1" x14ac:dyDescent="0.3">
      <c r="A2" s="8"/>
      <c r="B2" s="9">
        <f>C1+10^12</f>
        <v>1000355220572.53</v>
      </c>
      <c r="C2" s="10">
        <v>1</v>
      </c>
      <c r="D2" s="10">
        <v>2</v>
      </c>
      <c r="E2" s="10">
        <v>3</v>
      </c>
      <c r="F2" s="11">
        <v>4</v>
      </c>
      <c r="G2" s="11">
        <v>5</v>
      </c>
      <c r="H2" s="11">
        <v>6</v>
      </c>
      <c r="I2" s="12">
        <v>7</v>
      </c>
      <c r="J2" s="12">
        <v>8</v>
      </c>
      <c r="K2" s="12">
        <v>9</v>
      </c>
      <c r="L2" s="13">
        <v>10</v>
      </c>
      <c r="M2" s="13">
        <v>11</v>
      </c>
      <c r="N2" s="14">
        <v>12</v>
      </c>
    </row>
    <row r="3" spans="1:14" x14ac:dyDescent="0.3">
      <c r="A3" s="15" t="s">
        <v>69</v>
      </c>
      <c r="B3" s="16"/>
      <c r="C3" s="9">
        <f>VALUE(MID($B$2,C2+1,1))</f>
        <v>0</v>
      </c>
      <c r="D3" s="9">
        <f t="shared" ref="D3:N3" si="0">VALUE(MID($B$2,D2+1,1))</f>
        <v>0</v>
      </c>
      <c r="E3" s="9">
        <f t="shared" si="0"/>
        <v>0</v>
      </c>
      <c r="F3" s="9">
        <f t="shared" si="0"/>
        <v>3</v>
      </c>
      <c r="G3" s="9">
        <f t="shared" si="0"/>
        <v>5</v>
      </c>
      <c r="H3" s="9">
        <f t="shared" si="0"/>
        <v>5</v>
      </c>
      <c r="I3" s="9">
        <f t="shared" si="0"/>
        <v>2</v>
      </c>
      <c r="J3" s="9">
        <f t="shared" si="0"/>
        <v>2</v>
      </c>
      <c r="K3" s="9">
        <f t="shared" si="0"/>
        <v>0</v>
      </c>
      <c r="L3" s="9">
        <f t="shared" si="0"/>
        <v>5</v>
      </c>
      <c r="M3" s="9">
        <f t="shared" si="0"/>
        <v>7</v>
      </c>
      <c r="N3" s="9">
        <f t="shared" si="0"/>
        <v>2</v>
      </c>
    </row>
    <row r="4" spans="1:14" ht="18" thickBot="1" x14ac:dyDescent="0.35">
      <c r="A4" s="17" t="s">
        <v>70</v>
      </c>
      <c r="B4" s="18"/>
      <c r="C4" s="19"/>
      <c r="D4" s="20" t="s">
        <v>71</v>
      </c>
      <c r="E4" s="20" t="s">
        <v>72</v>
      </c>
      <c r="F4" s="19"/>
      <c r="G4" s="20" t="s">
        <v>71</v>
      </c>
      <c r="H4" s="20" t="s">
        <v>73</v>
      </c>
      <c r="I4" s="19"/>
      <c r="J4" s="20" t="s">
        <v>71</v>
      </c>
      <c r="K4" s="20" t="s">
        <v>74</v>
      </c>
      <c r="L4" s="19"/>
      <c r="M4" s="20" t="s">
        <v>75</v>
      </c>
      <c r="N4" s="20" t="s">
        <v>76</v>
      </c>
    </row>
    <row r="5" spans="1:14" ht="30.75" customHeight="1" x14ac:dyDescent="0.3">
      <c r="A5" s="21" t="s">
        <v>77</v>
      </c>
      <c r="B5" s="22"/>
      <c r="C5" s="23" t="str">
        <f>IF(C3=0,"",CHOOSE(C3,"một","hai","ba","bốn","năm","sáu","bảy","tám","chín")&amp;" trăm")</f>
        <v/>
      </c>
      <c r="D5" s="24" t="str">
        <f>IF(SUM(C3:D3)=0,"",IF(AND(D3=0,E3=0),"",IF(AND(D3=0,E3&lt;&gt;0),D4,CHOOSE(D3,"mười","hai mươi","ba mươi","bốn mươi","năm mươi","sáu mươi","bảy mươi","tám mươi","chín mươi"))))</f>
        <v/>
      </c>
      <c r="E5" s="23" t="str">
        <f>IF(SUM(C3:E3)=0,"",IF(AND(SUM(C3:D3)&gt;0,E3=0)," "&amp;E4,CHOOSE(E3,IF(D3&gt;0,"mốt","một"),"hai","ba","bốn",IF(D3&gt;0,"lăm","năm"),"sáu","bảy","tám","chín")&amp;" "&amp;E4))</f>
        <v/>
      </c>
      <c r="F5" s="23" t="str">
        <f>IF(SUM(C3:F3)=0,"",IF(SUM(F3:H3)=0,"",IF(F3=0,"không trăm",CHOOSE(F3,"một","hai","ba","bốn","năm","sáu","bảy","tám","chín")&amp;" trăm")))</f>
        <v>ba trăm</v>
      </c>
      <c r="G5" s="23" t="str">
        <f>IF(SUM(C3:G3)=0,"",IF(AND(G3=0,H3=0),"",IF(AND(G3=0,H3&lt;&gt;0),G4,CHOOSE(G3,"mười","hai mươi","ba mươi","bốn mươi","năm mươi","sáu mươi","bảy mươi","tám mươi","chín mươi"))))</f>
        <v>năm mươi</v>
      </c>
      <c r="H5" s="23" t="str">
        <f>IF(SUM(F3:H3)=0,"",IF(AND(SUM(C3:G3)&gt;0,H3=0)," "&amp;H4,CHOOSE(H3,IF(G3&gt;0,"mốt","một"),"hai","ba","bốn",IF(G3&gt;0,"lăm","năm"),"sáu","bảy","tám","chín")&amp;" "&amp;H4))</f>
        <v>lăm triệu</v>
      </c>
      <c r="I5" s="23" t="str">
        <f>IF(SUM(C3:I3)=0,"",IF(SUM(I3:K3)=0,"",IF(I3=0,"không trăm",CHOOSE(I3,"một","hai","ba","bốn","năm","sáu","bảy","tám","chín")&amp;" trăm")))</f>
        <v>hai trăm</v>
      </c>
      <c r="J5" s="23" t="str">
        <f>IF(SUM(C3:J3)=0,"",IF(AND(J3=0,K3=0),"",IF(AND(J3=0,K3&lt;&gt;0),J4,CHOOSE(J3,"mười","hai mươi","ba mươi","bốn mươi","năm mươi","sáu mươi","bảy mươi","tám mươi","chín mươi"))))</f>
        <v>hai mươi</v>
      </c>
      <c r="K5" s="23" t="str">
        <f>IF(SUM(I3:K3)=0,"",IF(AND(SUM(C3:J3)&gt;0,K3=0)," "&amp;K4,CHOOSE(K3,IF(J3&gt;0,"mốt","một"),"hai","ba","bốn",IF(J3&gt;0,"lăm","năm"),"sáu","bảy","tám","chín")&amp;" "&amp;K4))</f>
        <v xml:space="preserve"> ngàn</v>
      </c>
      <c r="L5" s="23" t="str">
        <f>IF(SUM(C3:L3)=0,"",IF(SUM(L3:N3)=0,"",IF(L3=0,"không trăm",CHOOSE(L3,"một","hai","ba","bốn","năm","sáu","bảy","tám","chín")&amp;" trăm")))</f>
        <v>năm trăm</v>
      </c>
      <c r="M5" s="23" t="str">
        <f>IF(SUM(C3:M3)=0,"",IF(AND(M3=0,N3=0),"",IF(AND(M3=0,N3&lt;&gt;0),M4,CHOOSE(M3,"mười","hai mươi","ba mươi","bốn mươi","năm mươi","sáu mươi","bảy mươi","tám mươi","chín mươi"))))</f>
        <v>bảy mươi</v>
      </c>
      <c r="N5" s="23" t="str">
        <f>IF(SUM(C3:N3)=0,"Không "&amp;N4,IF(AND(SUM(C3:K3)&gt;0,SUM(L3:N3)=0)," "&amp;N4&amp;" chẵn",IF(N3=0," "&amp;N4,CHOOSE(N3,IF(M3&gt;0,"mốt","một"),"hai","ba","bốn",IF(M3&gt;0,"lăm","năm"),"sáu","bảy","tám","chín")&amp;" "&amp;N4)))&amp;"./."</f>
        <v>hai đồng./.</v>
      </c>
    </row>
    <row r="6" spans="1:14" ht="25.5" customHeight="1" thickBot="1" x14ac:dyDescent="0.35">
      <c r="A6" s="25" t="s">
        <v>78</v>
      </c>
      <c r="B6" s="26"/>
      <c r="C6" s="23" t="str">
        <f>IF(C5="","",IF(COUNTIF(B5,"")=C2,UPPER(LEFT(C5,1))&amp;RIGHT(C5,LEN(C5)-1),C5))</f>
        <v/>
      </c>
      <c r="D6" s="23" t="str">
        <f>IF(D5="","",IF(COUNTIF(B5:C5,"")=D2,UPPER(LEFT(D5,1))&amp;RIGHT(D5,LEN(D5)-1),D5))</f>
        <v/>
      </c>
      <c r="E6" s="23" t="str">
        <f>IF(E5="","",IF(COUNTIF(B5:D5,"")=E2,UPPER(LEFT(E5,1))&amp;RIGHT(E5,LEN(E5)-1),E5))</f>
        <v/>
      </c>
      <c r="F6" s="23" t="str">
        <f>IF(F5="","",IF(COUNTIF(B5:E5,"")=F2,UPPER(LEFT(F5,1))&amp;RIGHT(F5,LEN(F5)-1),F5))</f>
        <v>Ba trăm</v>
      </c>
      <c r="G6" s="23" t="str">
        <f>IF(G5="","",IF(COUNTIF(B5:F5,"")=G2,UPPER(LEFT(G5,1))&amp;RIGHT(G5,LEN(G5)-1),G5))</f>
        <v>năm mươi</v>
      </c>
      <c r="H6" s="23" t="str">
        <f>IF(H5="","",IF(COUNTIF(B5:G5,"")=H2,UPPER(LEFT(H5,1))&amp;RIGHT(H5,LEN(H5)-1),H5))</f>
        <v>lăm triệu</v>
      </c>
      <c r="I6" s="23" t="str">
        <f>IF(I5="","",IF(COUNTIF(B5:H5,"")=I2,UPPER(LEFT(I5,1))&amp;RIGHT(I5,LEN(I5)-1),I5))</f>
        <v>hai trăm</v>
      </c>
      <c r="J6" s="23" t="str">
        <f>IF(J5="","",IF(COUNTIF(B5:I5,"")=J2,UPPER(LEFT(J5,1))&amp;RIGHT(J5,LEN(J5)-1),J5))</f>
        <v>hai mươi</v>
      </c>
      <c r="K6" s="23" t="str">
        <f>IF(K5="","",IF(COUNTIF(B5:J5,"")=K2,UPPER(LEFT(K5,1))&amp;RIGHT(K5,LEN(K5)-1),K5))</f>
        <v xml:space="preserve"> ngàn</v>
      </c>
      <c r="L6" s="23" t="str">
        <f>IF(L5="","",IF(COUNTIF(B5:K5,"")=L2,UPPER(LEFT(L5,1))&amp;RIGHT(L5,LEN(L5)-1),L5))</f>
        <v>năm trăm</v>
      </c>
      <c r="M6" s="23" t="str">
        <f>IF(M5="","",IF(COUNTIF(B5:L5,"")=M2,UPPER(LEFT(M5,1))&amp;RIGHT(M5,LEN(M5)-1),M5))</f>
        <v>bảy mươi</v>
      </c>
      <c r="N6" s="23" t="str">
        <f>IF(N5="","",IF(COUNTIF(B5:M5,"")=N2,UPPER(LEFT(N5,1))&amp;RIGHT(N5,LEN(N5)-1),N5))</f>
        <v>hai đồng./.</v>
      </c>
    </row>
    <row r="7" spans="1:14" ht="18" thickBot="1" x14ac:dyDescent="0.35">
      <c r="A7" s="2" t="s">
        <v>79</v>
      </c>
      <c r="B7" s="3" t="str">
        <f>TRIM(C6&amp;" "&amp;D6&amp;" "&amp;E6&amp;" "&amp;F6&amp;" "&amp;G6&amp;" "&amp;H6&amp;" "&amp;I6&amp;" "&amp;J6&amp;" "&amp;K6&amp;" "&amp;L6&amp;" "&amp;M6&amp;" "&amp;N6)</f>
        <v>Ba trăm năm mươi lăm triệu hai trăm hai mươi ngàn năm trăm bảy mươi hai đồng./.</v>
      </c>
      <c r="C7" s="27"/>
      <c r="D7" s="27"/>
      <c r="E7" s="27"/>
      <c r="F7" s="27"/>
      <c r="G7" s="27"/>
      <c r="H7" s="27"/>
      <c r="I7" s="27"/>
      <c r="J7" s="27"/>
      <c r="K7" s="27"/>
      <c r="L7" s="27"/>
      <c r="M7" s="27"/>
      <c r="N7" s="28"/>
    </row>
    <row r="8" spans="1:14" x14ac:dyDescent="0.3">
      <c r="A8" s="29"/>
      <c r="B8" s="29"/>
      <c r="C8" s="29"/>
      <c r="D8" s="29"/>
      <c r="E8" s="29"/>
      <c r="F8" s="29"/>
      <c r="G8" s="29"/>
      <c r="H8" s="29"/>
      <c r="I8" s="29"/>
      <c r="J8" s="29"/>
      <c r="K8" s="29"/>
      <c r="L8" s="29"/>
      <c r="M8" s="29"/>
      <c r="N8" s="29"/>
    </row>
    <row r="9" spans="1:14" x14ac:dyDescent="0.3">
      <c r="A9" s="29"/>
      <c r="B9" s="29"/>
      <c r="C9" s="29"/>
      <c r="D9" s="29"/>
      <c r="E9" s="29"/>
      <c r="F9" s="29"/>
      <c r="G9" s="29"/>
      <c r="H9" s="29"/>
      <c r="I9" s="29"/>
      <c r="J9" s="29"/>
      <c r="K9" s="29"/>
      <c r="L9" s="29"/>
      <c r="M9" s="29"/>
      <c r="N9" s="29"/>
    </row>
    <row r="10" spans="1:14" x14ac:dyDescent="0.3">
      <c r="A10" s="29"/>
      <c r="B10" s="29"/>
      <c r="C10" s="29" t="s">
        <v>80</v>
      </c>
      <c r="D10" s="29"/>
      <c r="E10" s="29"/>
      <c r="F10" s="29"/>
      <c r="G10" s="29"/>
      <c r="H10" s="29"/>
      <c r="I10" s="29" t="s">
        <v>80</v>
      </c>
      <c r="J10" s="29"/>
      <c r="K10" s="29"/>
      <c r="L10" s="29"/>
      <c r="M10" s="29"/>
      <c r="N10" s="29"/>
    </row>
    <row r="11" spans="1:14" x14ac:dyDescent="0.3">
      <c r="A11" s="29"/>
      <c r="B11" s="29"/>
      <c r="C11" s="29"/>
      <c r="D11" s="29"/>
      <c r="E11" s="29"/>
      <c r="F11" s="29"/>
      <c r="G11" s="29"/>
      <c r="H11" s="29"/>
      <c r="I11" s="29"/>
      <c r="J11" s="29"/>
      <c r="K11" s="29"/>
      <c r="L11" s="29"/>
      <c r="M11" s="29"/>
      <c r="N11" s="29"/>
    </row>
    <row r="12" spans="1:14" x14ac:dyDescent="0.3">
      <c r="A12" s="29"/>
      <c r="B12" s="29"/>
      <c r="C12" s="29"/>
      <c r="D12" s="29"/>
      <c r="E12" s="29"/>
      <c r="F12" s="29"/>
      <c r="G12" s="29"/>
      <c r="H12" s="29"/>
      <c r="I12" s="29"/>
      <c r="J12" s="29"/>
      <c r="K12" s="29"/>
      <c r="L12" s="29"/>
      <c r="M12" s="29"/>
      <c r="N12" s="29"/>
    </row>
    <row r="13" spans="1:14" x14ac:dyDescent="0.3">
      <c r="A13" s="29"/>
      <c r="B13" s="29"/>
      <c r="C13" s="29"/>
      <c r="D13" s="29"/>
      <c r="E13" s="29"/>
      <c r="F13" s="29"/>
      <c r="G13" s="29"/>
      <c r="H13" s="29"/>
      <c r="I13" s="29"/>
      <c r="J13" s="29"/>
      <c r="K13" s="29"/>
      <c r="L13" s="29"/>
      <c r="M13" s="29"/>
      <c r="N13" s="29"/>
    </row>
  </sheetData>
  <mergeCells count="1">
    <mergeCell ref="C1:E1"/>
  </mergeCells>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47628-6A18-4A91-826D-D4230C0D7964}">
  <dimension ref="A1:E83"/>
  <sheetViews>
    <sheetView topLeftCell="A12" zoomScale="115" zoomScaleNormal="115" workbookViewId="0">
      <selection activeCell="B37" sqref="B37"/>
    </sheetView>
  </sheetViews>
  <sheetFormatPr defaultRowHeight="15" x14ac:dyDescent="0.25"/>
  <cols>
    <col min="2" max="2" width="62" customWidth="1"/>
    <col min="3" max="3" width="81.7109375" customWidth="1"/>
    <col min="4" max="4" width="22.7109375" customWidth="1"/>
    <col min="5" max="5" width="46.28515625" customWidth="1"/>
  </cols>
  <sheetData>
    <row r="1" spans="1:5" ht="15.75" thickBot="1" x14ac:dyDescent="0.3"/>
    <row r="2" spans="1:5" ht="15.75" thickBot="1" x14ac:dyDescent="0.3">
      <c r="A2" s="30" t="s">
        <v>0</v>
      </c>
      <c r="B2" s="31" t="s">
        <v>1</v>
      </c>
      <c r="C2" s="31" t="s">
        <v>2</v>
      </c>
      <c r="D2" s="30" t="s">
        <v>3</v>
      </c>
      <c r="E2" s="30" t="s">
        <v>4</v>
      </c>
    </row>
    <row r="3" spans="1:5" ht="30.75" thickBot="1" x14ac:dyDescent="0.3">
      <c r="A3" s="30">
        <v>1</v>
      </c>
      <c r="B3" s="32" t="s">
        <v>5</v>
      </c>
      <c r="C3" s="32" t="s">
        <v>6</v>
      </c>
      <c r="D3" s="32" t="s">
        <v>7</v>
      </c>
      <c r="E3" s="31"/>
    </row>
    <row r="4" spans="1:5" ht="35.25" thickBot="1" x14ac:dyDescent="0.35">
      <c r="A4" s="30">
        <v>2</v>
      </c>
      <c r="B4" s="33" t="s">
        <v>8</v>
      </c>
      <c r="C4" s="33" t="s">
        <v>9</v>
      </c>
      <c r="D4" s="33" t="s">
        <v>10</v>
      </c>
      <c r="E4" s="33" t="s">
        <v>11</v>
      </c>
    </row>
    <row r="5" spans="1:5" ht="18" thickBot="1" x14ac:dyDescent="0.35">
      <c r="A5" s="30">
        <v>3</v>
      </c>
      <c r="B5" s="34" t="s">
        <v>12</v>
      </c>
      <c r="C5" s="33" t="s">
        <v>13</v>
      </c>
      <c r="D5" s="33" t="s">
        <v>14</v>
      </c>
      <c r="E5" s="33" t="s">
        <v>15</v>
      </c>
    </row>
    <row r="6" spans="1:5" ht="35.25" thickBot="1" x14ac:dyDescent="0.35">
      <c r="A6" s="30">
        <v>4</v>
      </c>
      <c r="B6" s="33" t="s">
        <v>16</v>
      </c>
      <c r="C6" s="33" t="s">
        <v>17</v>
      </c>
      <c r="D6" s="33" t="s">
        <v>18</v>
      </c>
      <c r="E6" s="33" t="s">
        <v>19</v>
      </c>
    </row>
    <row r="7" spans="1:5" ht="15.75" thickBot="1" x14ac:dyDescent="0.3">
      <c r="A7" s="30">
        <v>5</v>
      </c>
      <c r="B7" s="32" t="s">
        <v>20</v>
      </c>
      <c r="C7" s="32" t="s">
        <v>21</v>
      </c>
      <c r="D7" s="31"/>
      <c r="E7" s="31"/>
    </row>
    <row r="8" spans="1:5" ht="30.75" thickBot="1" x14ac:dyDescent="0.3">
      <c r="A8" s="30">
        <v>6</v>
      </c>
      <c r="B8" s="32" t="s">
        <v>22</v>
      </c>
      <c r="C8" s="32" t="s">
        <v>23</v>
      </c>
      <c r="D8" s="31">
        <v>962996316</v>
      </c>
      <c r="E8" s="31" t="s">
        <v>24</v>
      </c>
    </row>
    <row r="9" spans="1:5" ht="30.75" thickBot="1" x14ac:dyDescent="0.3">
      <c r="A9" s="30">
        <v>7</v>
      </c>
      <c r="B9" s="32" t="s">
        <v>25</v>
      </c>
      <c r="C9" s="32" t="s">
        <v>23</v>
      </c>
      <c r="D9" s="31">
        <v>962996316</v>
      </c>
      <c r="E9" s="31" t="s">
        <v>24</v>
      </c>
    </row>
    <row r="10" spans="1:5" ht="15.75" thickBot="1" x14ac:dyDescent="0.3">
      <c r="A10" s="30">
        <v>8</v>
      </c>
      <c r="B10" s="31" t="s">
        <v>26</v>
      </c>
      <c r="C10" s="31" t="s">
        <v>27</v>
      </c>
      <c r="D10" s="35">
        <v>343385356</v>
      </c>
      <c r="E10" s="31" t="s">
        <v>28</v>
      </c>
    </row>
    <row r="11" spans="1:5" ht="15.75" thickBot="1" x14ac:dyDescent="0.3">
      <c r="A11" s="30">
        <v>9</v>
      </c>
      <c r="B11" s="31" t="s">
        <v>29</v>
      </c>
      <c r="C11" s="31" t="s">
        <v>30</v>
      </c>
      <c r="D11" s="35">
        <v>907080348</v>
      </c>
      <c r="E11" s="31" t="s">
        <v>31</v>
      </c>
    </row>
    <row r="12" spans="1:5" ht="27" thickBot="1" x14ac:dyDescent="0.3">
      <c r="A12" s="30">
        <v>10</v>
      </c>
      <c r="B12" s="36" t="s">
        <v>32</v>
      </c>
      <c r="C12" s="31" t="s">
        <v>33</v>
      </c>
      <c r="D12" s="35">
        <v>352509911</v>
      </c>
      <c r="E12" s="31" t="s">
        <v>34</v>
      </c>
    </row>
    <row r="13" spans="1:5" ht="15.75" thickBot="1" x14ac:dyDescent="0.3">
      <c r="A13" s="30">
        <v>11</v>
      </c>
      <c r="B13" s="31" t="s">
        <v>35</v>
      </c>
      <c r="C13" s="31" t="s">
        <v>36</v>
      </c>
      <c r="D13" s="35">
        <v>903374294</v>
      </c>
      <c r="E13" s="31" t="s">
        <v>37</v>
      </c>
    </row>
    <row r="14" spans="1:5" ht="15.75" thickBot="1" x14ac:dyDescent="0.3">
      <c r="A14" s="30">
        <v>12</v>
      </c>
      <c r="B14" s="31" t="s">
        <v>38</v>
      </c>
      <c r="C14" s="31" t="s">
        <v>39</v>
      </c>
      <c r="D14" s="35">
        <v>964595811</v>
      </c>
      <c r="E14" s="31" t="s">
        <v>40</v>
      </c>
    </row>
    <row r="15" spans="1:5" ht="15.75" thickBot="1" x14ac:dyDescent="0.3">
      <c r="A15" s="30">
        <v>13</v>
      </c>
      <c r="B15" s="32" t="s">
        <v>41</v>
      </c>
      <c r="C15" s="31" t="s">
        <v>42</v>
      </c>
      <c r="D15" s="35">
        <v>938324219</v>
      </c>
      <c r="E15" s="31" t="s">
        <v>43</v>
      </c>
    </row>
    <row r="16" spans="1:5" ht="15.75" thickBot="1" x14ac:dyDescent="0.3">
      <c r="A16" s="30">
        <v>14</v>
      </c>
      <c r="B16" s="37" t="s">
        <v>44</v>
      </c>
      <c r="C16" s="31" t="s">
        <v>45</v>
      </c>
      <c r="D16" s="31"/>
      <c r="E16" s="31"/>
    </row>
    <row r="17" spans="1:5" ht="15.75" thickBot="1" x14ac:dyDescent="0.3">
      <c r="A17" s="30">
        <v>15</v>
      </c>
      <c r="B17" s="38" t="s">
        <v>46</v>
      </c>
      <c r="C17" s="39" t="s">
        <v>47</v>
      </c>
      <c r="D17" s="35">
        <v>977000533</v>
      </c>
      <c r="E17" s="39" t="s">
        <v>48</v>
      </c>
    </row>
    <row r="18" spans="1:5" ht="15.75" thickBot="1" x14ac:dyDescent="0.3">
      <c r="A18" s="30">
        <v>16</v>
      </c>
      <c r="B18" s="36" t="s">
        <v>49</v>
      </c>
      <c r="C18" s="39" t="s">
        <v>50</v>
      </c>
      <c r="D18" s="35">
        <v>343474348</v>
      </c>
      <c r="E18" s="31" t="s">
        <v>51</v>
      </c>
    </row>
    <row r="19" spans="1:5" ht="27" thickBot="1" x14ac:dyDescent="0.3">
      <c r="A19" s="30">
        <v>17</v>
      </c>
      <c r="B19" s="31" t="s">
        <v>52</v>
      </c>
      <c r="C19" s="39" t="s">
        <v>53</v>
      </c>
      <c r="D19" s="35">
        <v>985811819</v>
      </c>
      <c r="E19" s="31" t="s">
        <v>54</v>
      </c>
    </row>
    <row r="20" spans="1:5" ht="27" thickBot="1" x14ac:dyDescent="0.3">
      <c r="A20" s="30">
        <v>18</v>
      </c>
      <c r="B20" s="31" t="s">
        <v>55</v>
      </c>
      <c r="C20" s="39" t="s">
        <v>56</v>
      </c>
      <c r="D20" s="35">
        <v>937036603</v>
      </c>
      <c r="E20" s="31" t="s">
        <v>57</v>
      </c>
    </row>
    <row r="21" spans="1:5" ht="15.75" thickBot="1" x14ac:dyDescent="0.3">
      <c r="A21" s="30">
        <v>19</v>
      </c>
      <c r="B21" s="31" t="s">
        <v>58</v>
      </c>
      <c r="C21" s="39" t="s">
        <v>59</v>
      </c>
      <c r="D21" s="35">
        <v>973277114</v>
      </c>
      <c r="E21" s="31" t="s">
        <v>60</v>
      </c>
    </row>
    <row r="22" spans="1:5" ht="15.75" thickBot="1" x14ac:dyDescent="0.3">
      <c r="A22" s="30">
        <v>20</v>
      </c>
      <c r="B22" s="31" t="s">
        <v>61</v>
      </c>
      <c r="C22" s="31"/>
      <c r="D22" s="35">
        <v>978858679</v>
      </c>
      <c r="E22" s="31" t="s">
        <v>62</v>
      </c>
    </row>
    <row r="23" spans="1:5" x14ac:dyDescent="0.25">
      <c r="A23" s="30">
        <v>21</v>
      </c>
      <c r="B23" s="30" t="s">
        <v>63</v>
      </c>
      <c r="C23" s="30"/>
      <c r="D23" s="30"/>
      <c r="E23" s="30"/>
    </row>
    <row r="24" spans="1:5" x14ac:dyDescent="0.25">
      <c r="A24" s="30">
        <v>22</v>
      </c>
      <c r="B24" s="30" t="s">
        <v>64</v>
      </c>
      <c r="C24" s="30"/>
      <c r="D24" s="30"/>
      <c r="E24" s="30"/>
    </row>
    <row r="25" spans="1:5" x14ac:dyDescent="0.25">
      <c r="A25" s="30">
        <v>23</v>
      </c>
      <c r="B25" s="30" t="s">
        <v>65</v>
      </c>
      <c r="C25" s="30"/>
      <c r="D25" s="30"/>
      <c r="E25" s="30"/>
    </row>
    <row r="26" spans="1:5" x14ac:dyDescent="0.25">
      <c r="A26" s="30"/>
      <c r="B26" s="30"/>
      <c r="C26" s="30"/>
      <c r="D26" s="30"/>
      <c r="E26" s="30"/>
    </row>
    <row r="27" spans="1:5" x14ac:dyDescent="0.25">
      <c r="A27" s="30"/>
      <c r="B27" s="30"/>
      <c r="C27" s="30"/>
      <c r="D27" s="30"/>
      <c r="E27" s="30"/>
    </row>
    <row r="28" spans="1:5" x14ac:dyDescent="0.25">
      <c r="A28" s="30"/>
      <c r="B28" s="30"/>
      <c r="C28" s="30"/>
      <c r="D28" s="30"/>
      <c r="E28" s="30"/>
    </row>
    <row r="29" spans="1:5" x14ac:dyDescent="0.25">
      <c r="A29" s="30"/>
      <c r="B29" s="30"/>
      <c r="C29" s="30"/>
      <c r="D29" s="30"/>
      <c r="E29" s="30"/>
    </row>
    <row r="30" spans="1:5" x14ac:dyDescent="0.25">
      <c r="A30" s="30"/>
      <c r="B30" s="30"/>
      <c r="C30" s="30"/>
      <c r="D30" s="30"/>
      <c r="E30" s="30"/>
    </row>
    <row r="31" spans="1:5" x14ac:dyDescent="0.25">
      <c r="A31" s="30"/>
      <c r="B31" s="30"/>
      <c r="C31" s="30"/>
      <c r="D31" s="30"/>
      <c r="E31" s="30"/>
    </row>
    <row r="32" spans="1:5" x14ac:dyDescent="0.25">
      <c r="A32" s="30"/>
      <c r="B32" s="30"/>
      <c r="C32" s="30"/>
      <c r="D32" s="30"/>
      <c r="E32" s="30"/>
    </row>
    <row r="33" spans="1:5" x14ac:dyDescent="0.25">
      <c r="A33" s="30"/>
      <c r="B33" s="30"/>
      <c r="C33" s="30"/>
      <c r="D33" s="30"/>
      <c r="E33" s="30"/>
    </row>
    <row r="34" spans="1:5" x14ac:dyDescent="0.25">
      <c r="A34" s="30"/>
      <c r="B34" s="30"/>
      <c r="C34" s="30"/>
      <c r="D34" s="30"/>
      <c r="E34" s="30"/>
    </row>
    <row r="35" spans="1:5" x14ac:dyDescent="0.25">
      <c r="A35" s="30"/>
      <c r="B35" s="30"/>
      <c r="C35" s="30"/>
      <c r="D35" s="30"/>
      <c r="E35" s="30"/>
    </row>
    <row r="36" spans="1:5" x14ac:dyDescent="0.25">
      <c r="A36" s="30"/>
      <c r="B36" s="30"/>
      <c r="C36" s="30"/>
      <c r="D36" s="30"/>
      <c r="E36" s="30"/>
    </row>
    <row r="37" spans="1:5" x14ac:dyDescent="0.25">
      <c r="A37" s="30"/>
      <c r="B37" s="30"/>
      <c r="C37" s="30"/>
      <c r="D37" s="30"/>
      <c r="E37" s="30"/>
    </row>
    <row r="38" spans="1:5" x14ac:dyDescent="0.25">
      <c r="A38" s="30"/>
      <c r="B38" s="30"/>
      <c r="C38" s="30"/>
      <c r="D38" s="30"/>
      <c r="E38" s="30"/>
    </row>
    <row r="39" spans="1:5" x14ac:dyDescent="0.25">
      <c r="A39" s="30"/>
      <c r="B39" s="30"/>
      <c r="C39" s="30"/>
      <c r="D39" s="30"/>
      <c r="E39" s="30"/>
    </row>
    <row r="40" spans="1:5" x14ac:dyDescent="0.25">
      <c r="A40" s="30"/>
      <c r="B40" s="30"/>
      <c r="C40" s="30"/>
      <c r="D40" s="30"/>
      <c r="E40" s="30"/>
    </row>
    <row r="41" spans="1:5" x14ac:dyDescent="0.25">
      <c r="A41" s="30"/>
      <c r="B41" s="30"/>
      <c r="C41" s="30"/>
      <c r="D41" s="30"/>
      <c r="E41" s="30"/>
    </row>
    <row r="42" spans="1:5" x14ac:dyDescent="0.25">
      <c r="A42" s="30"/>
      <c r="B42" s="30"/>
      <c r="C42" s="30"/>
      <c r="D42" s="30"/>
      <c r="E42" s="30"/>
    </row>
    <row r="43" spans="1:5" x14ac:dyDescent="0.25">
      <c r="A43" s="30"/>
      <c r="B43" s="30"/>
      <c r="C43" s="30"/>
      <c r="D43" s="30"/>
      <c r="E43" s="30"/>
    </row>
    <row r="44" spans="1:5" x14ac:dyDescent="0.25">
      <c r="A44" s="30"/>
      <c r="B44" s="30"/>
      <c r="C44" s="30"/>
      <c r="D44" s="30"/>
      <c r="E44" s="30"/>
    </row>
    <row r="45" spans="1:5" x14ac:dyDescent="0.25">
      <c r="A45" s="30"/>
      <c r="B45" s="30"/>
      <c r="C45" s="30"/>
      <c r="D45" s="30"/>
      <c r="E45" s="30"/>
    </row>
    <row r="46" spans="1:5" x14ac:dyDescent="0.25">
      <c r="A46" s="30"/>
      <c r="B46" s="30"/>
      <c r="C46" s="30"/>
      <c r="D46" s="30"/>
      <c r="E46" s="30"/>
    </row>
    <row r="47" spans="1:5" x14ac:dyDescent="0.25">
      <c r="A47" s="30"/>
      <c r="B47" s="30"/>
      <c r="C47" s="30"/>
      <c r="D47" s="30"/>
      <c r="E47" s="30"/>
    </row>
    <row r="48" spans="1:5" x14ac:dyDescent="0.25">
      <c r="A48" s="30"/>
      <c r="B48" s="30"/>
      <c r="C48" s="30"/>
      <c r="D48" s="30"/>
      <c r="E48" s="30"/>
    </row>
    <row r="49" spans="1:5" x14ac:dyDescent="0.25">
      <c r="A49" s="30"/>
      <c r="B49" s="30"/>
      <c r="C49" s="30"/>
      <c r="D49" s="30"/>
      <c r="E49" s="30"/>
    </row>
    <row r="50" spans="1:5" x14ac:dyDescent="0.25">
      <c r="A50" s="30"/>
      <c r="B50" s="30"/>
      <c r="C50" s="30"/>
      <c r="D50" s="30"/>
      <c r="E50" s="30"/>
    </row>
    <row r="51" spans="1:5" x14ac:dyDescent="0.25">
      <c r="A51" s="30"/>
      <c r="B51" s="30"/>
      <c r="C51" s="30"/>
      <c r="D51" s="30"/>
      <c r="E51" s="30"/>
    </row>
    <row r="52" spans="1:5" x14ac:dyDescent="0.25">
      <c r="A52" s="30"/>
      <c r="B52" s="30"/>
      <c r="C52" s="30"/>
      <c r="D52" s="30"/>
      <c r="E52" s="30"/>
    </row>
    <row r="53" spans="1:5" x14ac:dyDescent="0.25">
      <c r="A53" s="30"/>
      <c r="B53" s="30"/>
      <c r="C53" s="30"/>
      <c r="D53" s="30"/>
      <c r="E53" s="30"/>
    </row>
    <row r="54" spans="1:5" x14ac:dyDescent="0.25">
      <c r="A54" s="30"/>
      <c r="B54" s="30"/>
      <c r="C54" s="30"/>
      <c r="D54" s="30"/>
      <c r="E54" s="30"/>
    </row>
    <row r="55" spans="1:5" x14ac:dyDescent="0.25">
      <c r="A55" s="30"/>
      <c r="B55" s="30"/>
      <c r="C55" s="30"/>
      <c r="D55" s="30"/>
      <c r="E55" s="30"/>
    </row>
    <row r="56" spans="1:5" x14ac:dyDescent="0.25">
      <c r="A56" s="30"/>
      <c r="B56" s="30"/>
      <c r="C56" s="30"/>
      <c r="D56" s="30"/>
      <c r="E56" s="30"/>
    </row>
    <row r="57" spans="1:5" x14ac:dyDescent="0.25">
      <c r="A57" s="30"/>
      <c r="B57" s="30"/>
      <c r="C57" s="30"/>
      <c r="D57" s="30"/>
      <c r="E57" s="30"/>
    </row>
    <row r="58" spans="1:5" x14ac:dyDescent="0.25">
      <c r="A58" s="30"/>
      <c r="B58" s="30"/>
      <c r="C58" s="30"/>
      <c r="D58" s="30"/>
      <c r="E58" s="30"/>
    </row>
    <row r="59" spans="1:5" x14ac:dyDescent="0.25">
      <c r="A59" s="30"/>
      <c r="B59" s="30"/>
      <c r="C59" s="30"/>
      <c r="D59" s="30"/>
      <c r="E59" s="30"/>
    </row>
    <row r="60" spans="1:5" x14ac:dyDescent="0.25">
      <c r="A60" s="30"/>
      <c r="B60" s="30"/>
      <c r="C60" s="30"/>
      <c r="D60" s="30"/>
      <c r="E60" s="30"/>
    </row>
    <row r="61" spans="1:5" x14ac:dyDescent="0.25">
      <c r="A61" s="30"/>
      <c r="B61" s="30"/>
      <c r="C61" s="30"/>
      <c r="D61" s="30"/>
      <c r="E61" s="30"/>
    </row>
    <row r="62" spans="1:5" x14ac:dyDescent="0.25">
      <c r="A62" s="30"/>
      <c r="B62" s="30"/>
      <c r="C62" s="30"/>
      <c r="D62" s="30"/>
      <c r="E62" s="30"/>
    </row>
    <row r="63" spans="1:5" x14ac:dyDescent="0.25">
      <c r="A63" s="30"/>
      <c r="B63" s="30"/>
      <c r="C63" s="30"/>
      <c r="D63" s="30"/>
      <c r="E63" s="30"/>
    </row>
    <row r="64" spans="1:5" x14ac:dyDescent="0.25">
      <c r="A64" s="30"/>
      <c r="B64" s="30"/>
      <c r="C64" s="30"/>
      <c r="D64" s="30"/>
      <c r="E64" s="30"/>
    </row>
    <row r="65" spans="1:5" x14ac:dyDescent="0.25">
      <c r="A65" s="30"/>
      <c r="B65" s="30"/>
      <c r="C65" s="30"/>
      <c r="D65" s="30"/>
      <c r="E65" s="30"/>
    </row>
    <row r="66" spans="1:5" x14ac:dyDescent="0.25">
      <c r="A66" s="30"/>
      <c r="B66" s="30"/>
      <c r="C66" s="30"/>
      <c r="D66" s="30"/>
      <c r="E66" s="30"/>
    </row>
    <row r="67" spans="1:5" x14ac:dyDescent="0.25">
      <c r="A67" s="30"/>
      <c r="B67" s="30"/>
      <c r="C67" s="30"/>
      <c r="D67" s="30"/>
      <c r="E67" s="30"/>
    </row>
    <row r="68" spans="1:5" x14ac:dyDescent="0.25">
      <c r="A68" s="30"/>
      <c r="B68" s="30"/>
      <c r="C68" s="30"/>
      <c r="D68" s="30"/>
      <c r="E68" s="30"/>
    </row>
    <row r="69" spans="1:5" x14ac:dyDescent="0.25">
      <c r="A69" s="30"/>
      <c r="B69" s="30"/>
      <c r="C69" s="30"/>
      <c r="D69" s="30"/>
      <c r="E69" s="30"/>
    </row>
    <row r="70" spans="1:5" x14ac:dyDescent="0.25">
      <c r="A70" s="30"/>
      <c r="B70" s="30"/>
      <c r="C70" s="30"/>
      <c r="D70" s="30"/>
      <c r="E70" s="30"/>
    </row>
    <row r="71" spans="1:5" x14ac:dyDescent="0.25">
      <c r="A71" s="30"/>
      <c r="B71" s="30"/>
      <c r="C71" s="30"/>
      <c r="D71" s="30"/>
      <c r="E71" s="30"/>
    </row>
    <row r="72" spans="1:5" x14ac:dyDescent="0.25">
      <c r="A72" s="30"/>
      <c r="B72" s="30"/>
      <c r="C72" s="30"/>
      <c r="D72" s="30"/>
      <c r="E72" s="30"/>
    </row>
    <row r="73" spans="1:5" x14ac:dyDescent="0.25">
      <c r="A73" s="30"/>
      <c r="B73" s="30"/>
      <c r="C73" s="30"/>
      <c r="D73" s="30"/>
      <c r="E73" s="30"/>
    </row>
    <row r="74" spans="1:5" x14ac:dyDescent="0.25">
      <c r="A74" s="30"/>
      <c r="B74" s="30"/>
      <c r="C74" s="30"/>
      <c r="D74" s="30"/>
      <c r="E74" s="30"/>
    </row>
    <row r="75" spans="1:5" x14ac:dyDescent="0.25">
      <c r="A75" s="30"/>
      <c r="B75" s="30"/>
      <c r="C75" s="30"/>
      <c r="D75" s="30"/>
      <c r="E75" s="30"/>
    </row>
    <row r="76" spans="1:5" x14ac:dyDescent="0.25">
      <c r="A76" s="30"/>
      <c r="B76" s="30"/>
      <c r="C76" s="30"/>
      <c r="D76" s="30"/>
      <c r="E76" s="30"/>
    </row>
    <row r="77" spans="1:5" x14ac:dyDescent="0.25">
      <c r="A77" s="30"/>
      <c r="B77" s="30"/>
      <c r="C77" s="30"/>
      <c r="D77" s="30"/>
      <c r="E77" s="30"/>
    </row>
    <row r="78" spans="1:5" x14ac:dyDescent="0.25">
      <c r="A78" s="30"/>
      <c r="B78" s="30"/>
      <c r="C78" s="30"/>
      <c r="D78" s="30"/>
      <c r="E78" s="30"/>
    </row>
    <row r="79" spans="1:5" x14ac:dyDescent="0.25">
      <c r="A79" s="30"/>
      <c r="B79" s="30"/>
      <c r="C79" s="30"/>
      <c r="D79" s="30"/>
      <c r="E79" s="30"/>
    </row>
    <row r="80" spans="1:5" x14ac:dyDescent="0.25">
      <c r="A80" s="30"/>
      <c r="B80" s="30"/>
      <c r="C80" s="30"/>
      <c r="D80" s="30"/>
      <c r="E80" s="30"/>
    </row>
    <row r="81" spans="1:5" x14ac:dyDescent="0.25">
      <c r="A81" s="30"/>
      <c r="B81" s="30"/>
      <c r="C81" s="30"/>
      <c r="D81" s="30"/>
      <c r="E81" s="30"/>
    </row>
    <row r="82" spans="1:5" x14ac:dyDescent="0.25">
      <c r="A82" s="30"/>
      <c r="B82" s="30"/>
      <c r="C82" s="30"/>
      <c r="D82" s="30"/>
      <c r="E82" s="30"/>
    </row>
    <row r="83" spans="1:5" x14ac:dyDescent="0.25">
      <c r="A83" s="30"/>
      <c r="B83" s="30"/>
      <c r="C83" s="30"/>
      <c r="D83" s="30"/>
      <c r="E83" s="30"/>
    </row>
  </sheetData>
  <pageMargins left="0.7" right="0.7" top="0.75" bottom="0.75" header="0.3" footer="0.3"/>
</worksheet>
</file>

<file path=docMetadata/LabelInfo.xml><?xml version="1.0" encoding="utf-8"?>
<clbl:labelList xmlns:clbl="http://schemas.microsoft.com/office/2020/mipLabelMetadata">
  <clbl:label id="{326fc3f0-ba00-4a34-894b-bfa21cacff77}" enabled="1" method="Privileged" siteId="{d7c94673-f0ad-410d-b6b5-787a29a8cb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Bancass</vt:lpstr>
      <vt:lpstr>TBHH </vt:lpstr>
      <vt:lpstr>DTCN </vt:lpstr>
      <vt:lpstr>KHDN </vt:lpstr>
      <vt:lpstr>PTSP  </vt:lpstr>
      <vt:lpstr>PTKD </vt:lpstr>
      <vt:lpstr>VH </vt:lpstr>
      <vt:lpstr>sheet1</vt:lpstr>
      <vt:lpstr>Thông tin KH </vt:lpstr>
      <vt:lpstr>Bancass!Print_Area</vt:lpstr>
      <vt:lpstr>'DTCN '!Print_Area</vt:lpstr>
      <vt:lpstr>'KHDN '!Print_Area</vt:lpstr>
      <vt:lpstr>'PTKD '!Print_Area</vt:lpstr>
      <vt:lpstr>'PTSP  '!Print_Area</vt:lpstr>
      <vt:lpstr>'TBHH '!Print_Area</vt:lpstr>
      <vt:lpstr>'VH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Ngoc, Nguyen Minh (BH-Digital)</cp:lastModifiedBy>
  <cp:revision/>
  <cp:lastPrinted>2025-07-16T04:54:48Z</cp:lastPrinted>
  <dcterms:created xsi:type="dcterms:W3CDTF">2023-05-04T10:49:36Z</dcterms:created>
  <dcterms:modified xsi:type="dcterms:W3CDTF">2025-07-16T07:59:13Z</dcterms:modified>
  <cp:category/>
  <cp:contentStatus/>
</cp:coreProperties>
</file>